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6F0BBA9F-58FB-466B-85AD-445B6271A649}" xr6:coauthVersionLast="47" xr6:coauthVersionMax="47" xr10:uidLastSave="{00000000-0000-0000-0000-000000000000}"/>
  <bookViews>
    <workbookView xWindow="-108" yWindow="-108" windowWidth="23256" windowHeight="12456" firstSheet="6" activeTab="11" xr2:uid="{364DAB66-644E-4276-ABC9-092170F1C2DC}"/>
  </bookViews>
  <sheets>
    <sheet name="Descriptive Statistics" sheetId="1" r:id="rId1"/>
    <sheet name="Descriptive Statistics 1.2" sheetId="9" r:id="rId2"/>
    <sheet name="Trend Analysis 1" sheetId="2" r:id="rId3"/>
    <sheet name="Trend Analysis 2" sheetId="3" r:id="rId4"/>
    <sheet name="Trend Analysis 1.3" sheetId="10" r:id="rId5"/>
    <sheet name="Product Performance 1.1" sheetId="11" r:id="rId6"/>
    <sheet name="Product Performance 1.2" sheetId="13" r:id="rId7"/>
    <sheet name="Questions &amp; KPIs" sheetId="17" r:id="rId8"/>
    <sheet name="Data" sheetId="19" r:id="rId9"/>
    <sheet name="Pivot Table" sheetId="28" r:id="rId10"/>
    <sheet name="Pivot Table 1.2" sheetId="29" r:id="rId11"/>
    <sheet name="Dashboard" sheetId="18" r:id="rId12"/>
  </sheets>
  <definedNames>
    <definedName name="_xlnm._FilterDatabase" localSheetId="1" hidden="1">'Descriptive Statistics 1.2'!$A$2:$B$113</definedName>
    <definedName name="_xlchart.v1.0" hidden="1">'Trend Analysis 1.3'!$A$2:$A$113</definedName>
    <definedName name="_xlchart.v1.1" hidden="1">'Trend Analysis 1.3'!$B$1</definedName>
    <definedName name="_xlchart.v1.10" hidden="1">'Product Performance 1.1'!$D$1</definedName>
    <definedName name="_xlchart.v1.11" hidden="1">'Product Performance 1.1'!$D$2:$D$113</definedName>
    <definedName name="_xlchart.v1.12" hidden="1">'Product Performance 1.2'!$A$2:$A$113</definedName>
    <definedName name="_xlchart.v1.13" hidden="1">'Product Performance 1.2'!$B$1</definedName>
    <definedName name="_xlchart.v1.14" hidden="1">'Product Performance 1.2'!$B$2:$B$113</definedName>
    <definedName name="_xlchart.v1.2" hidden="1">'Trend Analysis 1.3'!$B$2:$B$113</definedName>
    <definedName name="_xlchart.v1.3" hidden="1">'Trend Analysis 1.3'!$C$1</definedName>
    <definedName name="_xlchart.v1.4" hidden="1">'Trend Analysis 1.3'!$C$2:$C$113</definedName>
    <definedName name="_xlchart.v1.5" hidden="1">'Product Performance 1.1'!$A$2:$A$113</definedName>
    <definedName name="_xlchart.v1.6" hidden="1">'Product Performance 1.1'!$B$1</definedName>
    <definedName name="_xlchart.v1.7" hidden="1">'Product Performance 1.1'!$B$2:$B$113</definedName>
    <definedName name="_xlchart.v1.8" hidden="1">'Product Performance 1.1'!$C$1</definedName>
    <definedName name="_xlchart.v1.9" hidden="1">'Product Performance 1.1'!$C$2:$C$113</definedName>
    <definedName name="Slicer_Discount">#N/A</definedName>
    <definedName name="Slicer_Product">#N/A</definedName>
    <definedName name="Slicer_Rating">#N/A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4" i="19" l="1"/>
  <c r="G114" i="19"/>
  <c r="D114" i="19"/>
  <c r="I113" i="19"/>
  <c r="H113" i="19"/>
  <c r="E113" i="19"/>
  <c r="I112" i="19"/>
  <c r="H112" i="19"/>
  <c r="E112" i="19"/>
  <c r="I111" i="19"/>
  <c r="H111" i="19"/>
  <c r="E111" i="19"/>
  <c r="I110" i="19"/>
  <c r="H110" i="19"/>
  <c r="E110" i="19"/>
  <c r="I109" i="19"/>
  <c r="H109" i="19"/>
  <c r="E109" i="19"/>
  <c r="I108" i="19"/>
  <c r="H108" i="19"/>
  <c r="E108" i="19"/>
  <c r="I107" i="19"/>
  <c r="H107" i="19"/>
  <c r="E107" i="19"/>
  <c r="I106" i="19"/>
  <c r="H106" i="19"/>
  <c r="E106" i="19"/>
  <c r="I105" i="19"/>
  <c r="H105" i="19"/>
  <c r="E105" i="19"/>
  <c r="I104" i="19"/>
  <c r="H104" i="19"/>
  <c r="E104" i="19"/>
  <c r="I103" i="19"/>
  <c r="H103" i="19"/>
  <c r="E103" i="19"/>
  <c r="I102" i="19"/>
  <c r="H102" i="19"/>
  <c r="E102" i="19"/>
  <c r="I101" i="19"/>
  <c r="H101" i="19"/>
  <c r="E101" i="19"/>
  <c r="I100" i="19"/>
  <c r="H100" i="19"/>
  <c r="E100" i="19"/>
  <c r="I99" i="19"/>
  <c r="H99" i="19"/>
  <c r="E99" i="19"/>
  <c r="I98" i="19"/>
  <c r="H98" i="19"/>
  <c r="E98" i="19"/>
  <c r="I97" i="19"/>
  <c r="H97" i="19"/>
  <c r="E97" i="19"/>
  <c r="I96" i="19"/>
  <c r="H96" i="19"/>
  <c r="E96" i="19"/>
  <c r="I95" i="19"/>
  <c r="H95" i="19"/>
  <c r="E95" i="19"/>
  <c r="I94" i="19"/>
  <c r="H94" i="19"/>
  <c r="E94" i="19"/>
  <c r="I93" i="19"/>
  <c r="H93" i="19"/>
  <c r="E93" i="19"/>
  <c r="I92" i="19"/>
  <c r="H92" i="19"/>
  <c r="E92" i="19"/>
  <c r="I91" i="19"/>
  <c r="H91" i="19"/>
  <c r="E91" i="19"/>
  <c r="I90" i="19"/>
  <c r="H90" i="19"/>
  <c r="E90" i="19"/>
  <c r="I89" i="19"/>
  <c r="H89" i="19"/>
  <c r="E89" i="19"/>
  <c r="I88" i="19"/>
  <c r="H88" i="19"/>
  <c r="E88" i="19"/>
  <c r="I87" i="19"/>
  <c r="H87" i="19"/>
  <c r="E87" i="19"/>
  <c r="I86" i="19"/>
  <c r="H86" i="19"/>
  <c r="E86" i="19"/>
  <c r="I85" i="19"/>
  <c r="H85" i="19"/>
  <c r="E85" i="19"/>
  <c r="I84" i="19"/>
  <c r="H84" i="19"/>
  <c r="E84" i="19"/>
  <c r="I83" i="19"/>
  <c r="H83" i="19"/>
  <c r="E83" i="19"/>
  <c r="I82" i="19"/>
  <c r="H82" i="19"/>
  <c r="E82" i="19"/>
  <c r="I81" i="19"/>
  <c r="H81" i="19"/>
  <c r="E81" i="19"/>
  <c r="I80" i="19"/>
  <c r="H80" i="19"/>
  <c r="E80" i="19"/>
  <c r="I79" i="19"/>
  <c r="H79" i="19"/>
  <c r="E79" i="19"/>
  <c r="I78" i="19"/>
  <c r="H78" i="19"/>
  <c r="E78" i="19"/>
  <c r="I77" i="19"/>
  <c r="H77" i="19"/>
  <c r="E77" i="19"/>
  <c r="I76" i="19"/>
  <c r="H76" i="19"/>
  <c r="E76" i="19"/>
  <c r="I75" i="19"/>
  <c r="H75" i="19"/>
  <c r="E75" i="19"/>
  <c r="I74" i="19"/>
  <c r="H74" i="19"/>
  <c r="E74" i="19"/>
  <c r="I73" i="19"/>
  <c r="H73" i="19"/>
  <c r="E73" i="19"/>
  <c r="I72" i="19"/>
  <c r="H72" i="19"/>
  <c r="E72" i="19"/>
  <c r="I71" i="19"/>
  <c r="H71" i="19"/>
  <c r="E71" i="19"/>
  <c r="I70" i="19"/>
  <c r="H70" i="19"/>
  <c r="E70" i="19"/>
  <c r="I69" i="19"/>
  <c r="H69" i="19"/>
  <c r="E69" i="19"/>
  <c r="I68" i="19"/>
  <c r="H68" i="19"/>
  <c r="E68" i="19"/>
  <c r="I67" i="19"/>
  <c r="H67" i="19"/>
  <c r="E67" i="19"/>
  <c r="I66" i="19"/>
  <c r="H66" i="19"/>
  <c r="E66" i="19"/>
  <c r="I65" i="19"/>
  <c r="H65" i="19"/>
  <c r="E65" i="19"/>
  <c r="I64" i="19"/>
  <c r="H64" i="19"/>
  <c r="E64" i="19"/>
  <c r="I63" i="19"/>
  <c r="H63" i="19"/>
  <c r="E63" i="19"/>
  <c r="I62" i="19"/>
  <c r="H62" i="19"/>
  <c r="E62" i="19"/>
  <c r="I61" i="19"/>
  <c r="H61" i="19"/>
  <c r="E61" i="19"/>
  <c r="I60" i="19"/>
  <c r="H60" i="19"/>
  <c r="E60" i="19"/>
  <c r="I59" i="19"/>
  <c r="H59" i="19"/>
  <c r="E59" i="19"/>
  <c r="I58" i="19"/>
  <c r="H58" i="19"/>
  <c r="E58" i="19"/>
  <c r="I57" i="19"/>
  <c r="H57" i="19"/>
  <c r="E57" i="19"/>
  <c r="I56" i="19"/>
  <c r="H56" i="19"/>
  <c r="E56" i="19"/>
  <c r="I55" i="19"/>
  <c r="H55" i="19"/>
  <c r="E55" i="19"/>
  <c r="I54" i="19"/>
  <c r="H54" i="19"/>
  <c r="E54" i="19"/>
  <c r="I53" i="19"/>
  <c r="H53" i="19"/>
  <c r="E53" i="19"/>
  <c r="I52" i="19"/>
  <c r="H52" i="19"/>
  <c r="E52" i="19"/>
  <c r="I51" i="19"/>
  <c r="H51" i="19"/>
  <c r="E51" i="19"/>
  <c r="I50" i="19"/>
  <c r="H50" i="19"/>
  <c r="E50" i="19"/>
  <c r="I49" i="19"/>
  <c r="H49" i="19"/>
  <c r="E49" i="19"/>
  <c r="I48" i="19"/>
  <c r="H48" i="19"/>
  <c r="E48" i="19"/>
  <c r="I47" i="19"/>
  <c r="H47" i="19"/>
  <c r="E47" i="19"/>
  <c r="I46" i="19"/>
  <c r="H46" i="19"/>
  <c r="E46" i="19"/>
  <c r="I45" i="19"/>
  <c r="H45" i="19"/>
  <c r="E45" i="19"/>
  <c r="I44" i="19"/>
  <c r="H44" i="19"/>
  <c r="E44" i="19"/>
  <c r="I43" i="19"/>
  <c r="H43" i="19"/>
  <c r="E43" i="19"/>
  <c r="I42" i="19"/>
  <c r="H42" i="19"/>
  <c r="E42" i="19"/>
  <c r="I41" i="19"/>
  <c r="H41" i="19"/>
  <c r="E41" i="19"/>
  <c r="I40" i="19"/>
  <c r="H40" i="19"/>
  <c r="C40" i="19"/>
  <c r="C114" i="19" s="1"/>
  <c r="B40" i="19"/>
  <c r="B114" i="19" s="1"/>
  <c r="I39" i="19"/>
  <c r="H39" i="19"/>
  <c r="E39" i="19"/>
  <c r="I38" i="19"/>
  <c r="H38" i="19"/>
  <c r="E38" i="19"/>
  <c r="I37" i="19"/>
  <c r="H37" i="19"/>
  <c r="E37" i="19"/>
  <c r="I36" i="19"/>
  <c r="H36" i="19"/>
  <c r="E36" i="19"/>
  <c r="I35" i="19"/>
  <c r="H35" i="19"/>
  <c r="E35" i="19"/>
  <c r="I34" i="19"/>
  <c r="H34" i="19"/>
  <c r="E34" i="19"/>
  <c r="I33" i="19"/>
  <c r="H33" i="19"/>
  <c r="E33" i="19"/>
  <c r="I32" i="19"/>
  <c r="H32" i="19"/>
  <c r="E32" i="19"/>
  <c r="I31" i="19"/>
  <c r="H31" i="19"/>
  <c r="E31" i="19"/>
  <c r="I30" i="19"/>
  <c r="H30" i="19"/>
  <c r="E30" i="19"/>
  <c r="I29" i="19"/>
  <c r="H29" i="19"/>
  <c r="E29" i="19"/>
  <c r="I28" i="19"/>
  <c r="H28" i="19"/>
  <c r="E28" i="19"/>
  <c r="I27" i="19"/>
  <c r="H27" i="19"/>
  <c r="E27" i="19"/>
  <c r="I26" i="19"/>
  <c r="H26" i="19"/>
  <c r="E26" i="19"/>
  <c r="I25" i="19"/>
  <c r="H25" i="19"/>
  <c r="E25" i="19"/>
  <c r="I24" i="19"/>
  <c r="H24" i="19"/>
  <c r="E24" i="19"/>
  <c r="I23" i="19"/>
  <c r="H23" i="19"/>
  <c r="E23" i="19"/>
  <c r="I22" i="19"/>
  <c r="H22" i="19"/>
  <c r="E22" i="19"/>
  <c r="I21" i="19"/>
  <c r="H21" i="19"/>
  <c r="E21" i="19"/>
  <c r="I20" i="19"/>
  <c r="H20" i="19"/>
  <c r="E20" i="19"/>
  <c r="I19" i="19"/>
  <c r="H19" i="19"/>
  <c r="E19" i="19"/>
  <c r="I18" i="19"/>
  <c r="H18" i="19"/>
  <c r="E18" i="19"/>
  <c r="I17" i="19"/>
  <c r="H17" i="19"/>
  <c r="E17" i="19"/>
  <c r="I16" i="19"/>
  <c r="H16" i="19"/>
  <c r="E16" i="19"/>
  <c r="I15" i="19"/>
  <c r="H15" i="19"/>
  <c r="E15" i="19"/>
  <c r="I14" i="19"/>
  <c r="H14" i="19"/>
  <c r="E14" i="19"/>
  <c r="I13" i="19"/>
  <c r="H13" i="19"/>
  <c r="E13" i="19"/>
  <c r="I12" i="19"/>
  <c r="H12" i="19"/>
  <c r="E12" i="19"/>
  <c r="I11" i="19"/>
  <c r="H11" i="19"/>
  <c r="E11" i="19"/>
  <c r="I10" i="19"/>
  <c r="H10" i="19"/>
  <c r="E10" i="19"/>
  <c r="I9" i="19"/>
  <c r="H9" i="19"/>
  <c r="E9" i="19"/>
  <c r="I8" i="19"/>
  <c r="H8" i="19"/>
  <c r="E8" i="19"/>
  <c r="I7" i="19"/>
  <c r="H7" i="19"/>
  <c r="E7" i="19"/>
  <c r="I6" i="19"/>
  <c r="H6" i="19"/>
  <c r="E6" i="19"/>
  <c r="I5" i="19"/>
  <c r="H5" i="19"/>
  <c r="E5" i="19"/>
  <c r="I4" i="19"/>
  <c r="H4" i="19"/>
  <c r="E4" i="19"/>
  <c r="I3" i="19"/>
  <c r="H3" i="19"/>
  <c r="E3" i="19"/>
  <c r="I2" i="19"/>
  <c r="H2" i="19"/>
  <c r="E2" i="19"/>
  <c r="B114" i="11"/>
  <c r="D81" i="11"/>
  <c r="D2" i="11"/>
  <c r="D59" i="11"/>
  <c r="D112" i="11"/>
  <c r="D111" i="11"/>
  <c r="D95" i="11"/>
  <c r="D94" i="11"/>
  <c r="D98" i="11"/>
  <c r="D113" i="11"/>
  <c r="D90" i="11"/>
  <c r="D7" i="11"/>
  <c r="D88" i="11"/>
  <c r="D75" i="11"/>
  <c r="D105" i="11"/>
  <c r="D74" i="11"/>
  <c r="D110" i="11"/>
  <c r="D103" i="11"/>
  <c r="D66" i="11"/>
  <c r="D80" i="11"/>
  <c r="D78" i="11"/>
  <c r="D77" i="11"/>
  <c r="D65" i="11"/>
  <c r="D85" i="11"/>
  <c r="D101" i="11"/>
  <c r="D73" i="11"/>
  <c r="D102" i="11"/>
  <c r="D72" i="11"/>
  <c r="D100" i="11"/>
  <c r="D71" i="11"/>
  <c r="D4" i="11"/>
  <c r="D109" i="11"/>
  <c r="D93" i="11"/>
  <c r="D3" i="11"/>
  <c r="D5" i="11"/>
  <c r="D70" i="11"/>
  <c r="D104" i="11"/>
  <c r="D84" i="11"/>
  <c r="D79" i="11"/>
  <c r="D30" i="11"/>
  <c r="D22" i="11"/>
  <c r="D17" i="11"/>
  <c r="D24" i="11"/>
  <c r="D19" i="11"/>
  <c r="D48" i="11"/>
  <c r="D18" i="11"/>
  <c r="D29" i="11"/>
  <c r="D23" i="11"/>
  <c r="D47" i="11"/>
  <c r="D45" i="11"/>
  <c r="D58" i="11"/>
  <c r="D40" i="11"/>
  <c r="D35" i="11"/>
  <c r="D27" i="11"/>
  <c r="D61" i="11"/>
  <c r="D97" i="11"/>
  <c r="D69" i="11"/>
  <c r="D76" i="11"/>
  <c r="D83" i="11"/>
  <c r="D89" i="11"/>
  <c r="D106" i="11"/>
  <c r="D99" i="11"/>
  <c r="D108" i="11"/>
  <c r="D64" i="11"/>
  <c r="D60" i="11"/>
  <c r="D92" i="11"/>
  <c r="D68" i="11"/>
  <c r="D96" i="11"/>
  <c r="D63" i="11"/>
  <c r="D107" i="11"/>
  <c r="D87" i="11"/>
  <c r="D62" i="11"/>
  <c r="D67" i="11"/>
  <c r="D91" i="11"/>
  <c r="D12" i="11"/>
  <c r="D53" i="11"/>
  <c r="D8" i="11"/>
  <c r="D6" i="11"/>
  <c r="D52" i="11"/>
  <c r="D50" i="11"/>
  <c r="D33" i="11"/>
  <c r="D37" i="11"/>
  <c r="D32" i="11"/>
  <c r="D82" i="11"/>
  <c r="D49" i="11"/>
  <c r="D42" i="11"/>
  <c r="D39" i="11"/>
  <c r="D56" i="11"/>
  <c r="D28" i="11"/>
  <c r="D44" i="11"/>
  <c r="D26" i="11"/>
  <c r="D86" i="11"/>
  <c r="D41" i="11"/>
  <c r="D55" i="11"/>
  <c r="D21" i="11"/>
  <c r="D14" i="11"/>
  <c r="D10" i="11"/>
  <c r="D9" i="11"/>
  <c r="D34" i="11"/>
  <c r="D25" i="11"/>
  <c r="D36" i="11"/>
  <c r="D54" i="11"/>
  <c r="D38" i="11"/>
  <c r="D16" i="11"/>
  <c r="D15" i="11"/>
  <c r="D13" i="11"/>
  <c r="D57" i="11"/>
  <c r="D46" i="11"/>
  <c r="D20" i="11"/>
  <c r="D31" i="11"/>
  <c r="D51" i="11"/>
  <c r="D43" i="11"/>
  <c r="D11" i="11"/>
  <c r="C21" i="10"/>
  <c r="C31" i="10"/>
  <c r="C16" i="10"/>
  <c r="C12" i="10"/>
  <c r="C9" i="10"/>
  <c r="C34" i="10"/>
  <c r="C17" i="10"/>
  <c r="C35" i="10"/>
  <c r="C10" i="10"/>
  <c r="C38" i="10"/>
  <c r="C32" i="10"/>
  <c r="C13" i="10"/>
  <c r="C11" i="10"/>
  <c r="C22" i="10"/>
  <c r="C30" i="10"/>
  <c r="C2" i="10"/>
  <c r="C3" i="10"/>
  <c r="C4" i="10"/>
  <c r="C18" i="10"/>
  <c r="C19" i="10"/>
  <c r="C41" i="10"/>
  <c r="C59" i="10"/>
  <c r="C36" i="10"/>
  <c r="C25" i="10"/>
  <c r="C26" i="10"/>
  <c r="C20" i="10"/>
  <c r="C39" i="10"/>
  <c r="C40" i="10"/>
  <c r="C33" i="10"/>
  <c r="C60" i="10"/>
  <c r="C27" i="10"/>
  <c r="C14" i="10"/>
  <c r="C28" i="10"/>
  <c r="C15" i="10"/>
  <c r="C23" i="10"/>
  <c r="C5" i="10"/>
  <c r="C6" i="10"/>
  <c r="C29" i="10"/>
  <c r="C24" i="10"/>
  <c r="C61" i="10"/>
  <c r="C62" i="10"/>
  <c r="C63" i="10"/>
  <c r="C64" i="10"/>
  <c r="C65" i="10"/>
  <c r="C66" i="10"/>
  <c r="C67" i="10"/>
  <c r="C68" i="10"/>
  <c r="C69" i="10"/>
  <c r="C70" i="10"/>
  <c r="C71" i="10"/>
  <c r="C72" i="10"/>
  <c r="C73" i="10"/>
  <c r="C74" i="10"/>
  <c r="C75" i="10"/>
  <c r="C76" i="10"/>
  <c r="C77" i="10"/>
  <c r="C78" i="10"/>
  <c r="C79" i="10"/>
  <c r="C80" i="10"/>
  <c r="C51" i="10"/>
  <c r="C42" i="10"/>
  <c r="C56" i="10"/>
  <c r="C48" i="10"/>
  <c r="C49" i="10"/>
  <c r="C47" i="10"/>
  <c r="C54" i="10"/>
  <c r="C52" i="10"/>
  <c r="C43" i="10"/>
  <c r="C50" i="10"/>
  <c r="C44" i="10"/>
  <c r="C53" i="10"/>
  <c r="C45" i="10"/>
  <c r="C55" i="10"/>
  <c r="C57" i="10"/>
  <c r="C81" i="10"/>
  <c r="C82" i="10"/>
  <c r="C83" i="10"/>
  <c r="C84" i="10"/>
  <c r="C46" i="10"/>
  <c r="C7" i="10"/>
  <c r="C85" i="10"/>
  <c r="C86" i="10"/>
  <c r="C37" i="10"/>
  <c r="C87" i="10"/>
  <c r="C88" i="10"/>
  <c r="C89" i="10"/>
  <c r="C90" i="10"/>
  <c r="C91" i="10"/>
  <c r="C92" i="10"/>
  <c r="C93" i="10"/>
  <c r="C94" i="10"/>
  <c r="C95" i="10"/>
  <c r="C96" i="10"/>
  <c r="C97" i="10"/>
  <c r="C98" i="10"/>
  <c r="C99" i="10"/>
  <c r="C100" i="10"/>
  <c r="C101" i="10"/>
  <c r="C102" i="10"/>
  <c r="C103" i="10"/>
  <c r="C104" i="10"/>
  <c r="C8" i="10"/>
  <c r="C105" i="10"/>
  <c r="C106" i="10"/>
  <c r="C107" i="10"/>
  <c r="C108" i="10"/>
  <c r="C109" i="10"/>
  <c r="C110" i="10"/>
  <c r="C111" i="10"/>
  <c r="C112" i="10"/>
  <c r="C58" i="10"/>
  <c r="C113" i="10"/>
  <c r="B114" i="10"/>
  <c r="A114" i="3"/>
  <c r="B7" i="9"/>
  <c r="B114" i="9" s="1"/>
  <c r="A114" i="2"/>
  <c r="G114" i="1"/>
  <c r="D114" i="1"/>
  <c r="C114" i="1"/>
  <c r="B114" i="1"/>
  <c r="C40" i="1"/>
  <c r="B40"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2" i="1"/>
  <c r="E3" i="1"/>
</calcChain>
</file>

<file path=xl/sharedStrings.xml><?xml version="1.0" encoding="utf-8"?>
<sst xmlns="http://schemas.openxmlformats.org/spreadsheetml/2006/main" count="1298" uniqueCount="145">
  <si>
    <t>Product</t>
  </si>
  <si>
    <t>Current price</t>
  </si>
  <si>
    <t>old price</t>
  </si>
  <si>
    <t>Discount</t>
  </si>
  <si>
    <t>Review</t>
  </si>
  <si>
    <t>Rating</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</si>
  <si>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</si>
  <si>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</si>
  <si>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</si>
  <si>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</si>
  <si>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</si>
  <si>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</si>
  <si>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</si>
  <si>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</si>
  <si>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</si>
  <si>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</si>
  <si>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</si>
  <si>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</si>
  <si>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</si>
  <si>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</si>
  <si>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</si>
  <si>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</si>
  <si>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</si>
  <si>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</si>
  <si>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</si>
  <si>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</si>
  <si>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</si>
  <si>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</si>
  <si>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</si>
  <si>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</si>
  <si>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</si>
  <si>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</si>
  <si>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</si>
  <si>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</si>
  <si>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</si>
  <si>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</si>
  <si>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</si>
  <si>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</si>
  <si>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</si>
  <si>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</si>
  <si>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</si>
  <si>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</si>
  <si>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</si>
  <si>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</si>
  <si>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</si>
  <si>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</si>
  <si>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</si>
  <si>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</si>
  <si>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</si>
  <si>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</si>
  <si>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</si>
  <si>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</si>
  <si>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</si>
  <si>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</si>
  <si>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</si>
  <si>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</si>
  <si>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</si>
  <si>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</si>
  <si>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</si>
  <si>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</si>
  <si>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</si>
  <si>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</si>
  <si>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</si>
  <si>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</si>
  <si>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</si>
  <si>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</si>
  <si>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</si>
  <si>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</si>
  <si>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</si>
  <si>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</si>
  <si>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</si>
  <si>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</si>
  <si>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</si>
  <si>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</si>
  <si>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</si>
  <si>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</si>
  <si>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</si>
  <si>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</si>
  <si>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</si>
  <si>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</si>
  <si>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</si>
  <si>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</si>
  <si>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</si>
  <si>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</si>
  <si>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</si>
  <si>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</si>
  <si>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</si>
  <si>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</si>
  <si>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</si>
  <si>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</si>
  <si>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</si>
  <si>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</si>
  <si>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</si>
  <si>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</si>
  <si>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</si>
  <si>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</si>
  <si>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</si>
  <si>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</si>
  <si>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</si>
  <si>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</si>
  <si>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</si>
  <si>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</si>
  <si>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</si>
  <si>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</si>
  <si>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</si>
  <si>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</si>
  <si>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</si>
  <si>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</si>
  <si>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</si>
  <si>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</si>
  <si>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</si>
  <si>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</si>
  <si>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</si>
  <si>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</si>
  <si>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</si>
  <si>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Absolute Discount</t>
  </si>
  <si>
    <t>Products rating</t>
  </si>
  <si>
    <t>Discount %</t>
  </si>
  <si>
    <t>The correlation between rating and review count is 0.057, which is very weak and close to zero, so this dataset does not show strong evidence that higher-rated products have more reviews. </t>
  </si>
  <si>
    <t>KPI'S</t>
  </si>
  <si>
    <t>Total number of products</t>
  </si>
  <si>
    <t>Average rating</t>
  </si>
  <si>
    <t>Average discount percentage</t>
  </si>
  <si>
    <t>Total reviews</t>
  </si>
  <si>
    <t>Questions</t>
  </si>
  <si>
    <t>Do higher rated products have higher prices or are they more affordable?</t>
  </si>
  <si>
    <t>Which product categories  e.g home appliance , tools , decorations have the highest ratings and discounts?</t>
  </si>
  <si>
    <t>Are there any products with high discounts but low ratings ? What could be the reason?</t>
  </si>
  <si>
    <t>Row Labels</t>
  </si>
  <si>
    <t>Grand Total</t>
  </si>
  <si>
    <t>Sum of Rating</t>
  </si>
  <si>
    <t>Sum of Discount</t>
  </si>
  <si>
    <t>Sum of Review</t>
  </si>
  <si>
    <t>Average of Rating</t>
  </si>
  <si>
    <t>Average of Discount</t>
  </si>
  <si>
    <t>Sum of Current price</t>
  </si>
  <si>
    <t>Count of Product</t>
  </si>
  <si>
    <t>Are higher discounts leading to more sales (as indicated by the number of reviews)?</t>
  </si>
  <si>
    <t>For trends</t>
  </si>
  <si>
    <t>Count of Products rating</t>
  </si>
  <si>
    <t>Low Discount</t>
  </si>
  <si>
    <t>High Discount</t>
  </si>
  <si>
    <t>Medium Discount</t>
  </si>
  <si>
    <r>
      <t>The most expensive item is </t>
    </r>
    <r>
      <rPr>
        <b/>
        <u/>
        <sz val="11"/>
        <color rgb="FF111113"/>
        <rFont val="Segoe UI"/>
        <family val="2"/>
      </rPr>
      <t>32PCS Portable Cordless Drill Set With Cyclic Battery Drive -26 Variable Speed</t>
    </r>
    <r>
      <rPr>
        <b/>
        <sz val="11"/>
        <color theme="1"/>
        <rFont val="Segoe UI"/>
        <family val="2"/>
      </rPr>
      <t> at </t>
    </r>
    <r>
      <rPr>
        <b/>
        <u/>
        <sz val="11"/>
        <color rgb="FF111113"/>
        <rFont val="Segoe UI"/>
        <family val="2"/>
      </rPr>
      <t>3,750</t>
    </r>
  </si>
  <si>
    <r>
      <t>The correlation between discount percentage and review count is </t>
    </r>
    <r>
      <rPr>
        <b/>
        <u/>
        <sz val="11"/>
        <color rgb="FF111113"/>
        <rFont val="Segoe UI"/>
        <family val="2"/>
      </rPr>
      <t>-0.137</t>
    </r>
    <r>
      <rPr>
        <b/>
        <sz val="11"/>
        <color theme="1"/>
        <rFont val="Segoe UI"/>
        <family val="2"/>
      </rPr>
      <t>, which is weak and slightly negative, so this dataset does not show evidence that higher discounts lead to more reviews.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</si>
</sst>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u/>
      <sz val="11"/>
      <color theme="10"/>
      <name val="Calibri"/>
      <family val="2"/>
      <scheme val="minor"/>
    </font>
    <font>
      <b/>
      <sz val="11"/>
      <color theme="1"/>
      <name val="Calibri"/>
      <family val="2"/>
      <scheme val="minor"/>
    </font>
    <font>
      <b/>
      <sz val="11"/>
      <color theme="1"/>
      <name val="Segoe UI"/>
      <family val="2"/>
    </font>
    <font>
      <b/>
      <u/>
      <sz val="11"/>
      <color rgb="FF111113"/>
      <name val="Segoe UI"/>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2" fontId="0" fillId="0" borderId="0" xfId="0" applyNumberFormat="1"/>
    <xf numFmtId="9" fontId="0" fillId="0" borderId="0" xfId="0" applyNumberFormat="1"/>
    <xf numFmtId="2" fontId="0" fillId="2" borderId="0" xfId="0" applyNumberFormat="1" applyFill="1"/>
    <xf numFmtId="2" fontId="1" fillId="3" borderId="0" xfId="0" applyNumberFormat="1" applyFont="1" applyFill="1"/>
    <xf numFmtId="0" fontId="1" fillId="0" borderId="0" xfId="1" applyFont="1"/>
    <xf numFmtId="0" fontId="1" fillId="0" borderId="0" xfId="0" applyFon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9" fontId="0" fillId="2" borderId="0" xfId="0" applyNumberFormat="1" applyFill="1"/>
    <xf numFmtId="0" fontId="4" fillId="0" borderId="0" xfId="0" applyFont="1"/>
    <xf numFmtId="0" fontId="3" fillId="0" borderId="0" xfId="0" applyFont="1"/>
    <xf numFmtId="0" fontId="4" fillId="0" borderId="0" xfId="0" applyFont="1" applyAlignment="1"/>
  </cellXfs>
  <cellStyles count="2">
    <cellStyle name="Hyperlink" xfId="1" builtinId="8"/>
    <cellStyle name="Normal" xfId="0" builtinId="0"/>
  </cellStyles>
  <dxfs count="5">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CAD7EE"/>
      <color rgb="FF6CA62C"/>
      <color rgb="FF003E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bar"/>
        <c:grouping val="clustered"/>
        <c:varyColors val="0"/>
        <c:ser>
          <c:idx val="0"/>
          <c:order val="0"/>
          <c:tx>
            <c:strRef>
              <c:f>'Descriptive Statistics 1.2'!$B$1</c:f>
              <c:strCache>
                <c:ptCount val="1"/>
                <c:pt idx="0">
                  <c:v>Current price</c:v>
                </c:pt>
              </c:strCache>
            </c:strRef>
          </c:tx>
          <c:spPr>
            <a:solidFill>
              <a:schemeClr val="accent1"/>
            </a:solidFill>
            <a:ln>
              <a:noFill/>
            </a:ln>
            <a:effectLst/>
          </c:spPr>
          <c:invertIfNegative val="0"/>
          <c:cat>
            <c:strRef>
              <c:f>'Descriptive Statistics 1.2'!$A$2:$A$113</c:f>
              <c:strCache>
                <c:ptCount val="112"/>
                <c:pt idx="0">
                  <c:v>3PCS Single Head Knitting Crochet Sweater Needle Set</c:v>
                </c:pt>
                <c:pt idx="1">
                  <c:v>Sewing Machine Needle Threader Stitch Insertion Tool Automatic Quick Sewing</c:v>
                </c:pt>
                <c:pt idx="2">
                  <c:v>Black Simple Water Cup Wine Coaster Anti Slip Absorbent</c:v>
                </c:pt>
                <c:pt idx="3">
                  <c:v>Classic Black Cat Cotton Hemp Pillow Case For Home Car</c:v>
                </c:pt>
                <c:pt idx="4">
                  <c:v>Creative Owl Shape Keychain Black</c:v>
                </c:pt>
                <c:pt idx="5">
                  <c:v>1/2/3 Seater Elastic Sofa Cover,Living Room/Home Decor Chair Cover-Grey</c:v>
                </c:pt>
                <c:pt idx="6">
                  <c:v>Exfoliate And Exfoliate Face Towel - Black</c:v>
                </c:pt>
                <c:pt idx="7">
                  <c:v>Peacock  Throw Pillow Cushion Case For Home Car</c:v>
                </c:pt>
                <c:pt idx="8">
                  <c:v>1PC Refrigerator Food Seal Pocket Fridge Bags</c:v>
                </c:pt>
                <c:pt idx="9">
                  <c:v>Creative Owl Shape Keychain Black</c:v>
                </c:pt>
                <c:pt idx="10">
                  <c:v>6 In 1 Bottle Can Opener Multifunctional Easy Opener</c:v>
                </c:pt>
                <c:pt idx="11">
                  <c:v>7PCS Silicone Thumb Knife Finger Protector Vegetable Harvesting Knife</c:v>
                </c:pt>
                <c:pt idx="12">
                  <c:v>Modern Sofa Throw Pillow Cover-45x45cm-Blue&amp;Red</c:v>
                </c:pt>
                <c:pt idx="13">
                  <c:v>4 Piece Coloured Stainless Steel Kitchenware Set</c:v>
                </c:pt>
                <c:pt idx="14">
                  <c:v>Cartoon Car Decoration Cute Individuality For Car Home Desk</c:v>
                </c:pt>
                <c:pt idx="15">
                  <c:v>Brush &amp; Paintbrush Cleaning Tool Pink</c:v>
                </c:pt>
                <c:pt idx="16">
                  <c:v>Pilates Cloth Bag Waterproof Durable High Capacity Purple</c:v>
                </c:pt>
                <c:pt idx="17">
                  <c:v>Intelligent  LED Body Sensor Wireless Lighting Night Light USB</c:v>
                </c:pt>
                <c:pt idx="18">
                  <c:v>Household Pineapple Peeler Peeler</c:v>
                </c:pt>
                <c:pt idx="19">
                  <c:v>Anti-Skid Absorbent Insulation Coaster  For Home Office</c:v>
                </c:pt>
                <c:pt idx="20">
                  <c:v>Watercolour Gold Foil Textured Print Pillow Cover</c:v>
                </c:pt>
                <c:pt idx="21">
                  <c:v>Agapeon Toothbrush Holder And Toothpaste Dispenser</c:v>
                </c:pt>
                <c:pt idx="22">
                  <c:v>Punch-free Great Load Bearing Bathroom Storage Rack Wall Shelf-White</c:v>
                </c:pt>
                <c:pt idx="23">
                  <c:v>Simple Metal Dog Art Sculpture Decoration For Home Office</c:v>
                </c:pt>
                <c:pt idx="24">
                  <c:v>Electronic Digital Display Vernier Caliper</c:v>
                </c:pt>
                <c:pt idx="25">
                  <c:v>120W Cordless Vacuum Cleaners Handheld Electric Vacuum Cleaner</c:v>
                </c:pt>
                <c:pt idx="26">
                  <c:v>Wall-mounted Sticker Punch-free Plug Fixer</c:v>
                </c:pt>
                <c:pt idx="27">
                  <c:v>Mythco 120COB Solar Wall Ligt With Motion Sensor And Remote Control 3 Modes</c:v>
                </c:pt>
                <c:pt idx="28">
                  <c:v>4M Float Switch Water Level Controller -Water Tank</c:v>
                </c:pt>
                <c:pt idx="29">
                  <c:v>Simple Metal Dog Art Sculpture Decoration For Home Office</c:v>
                </c:pt>
                <c:pt idx="30">
                  <c:v>LASA Digital Thermometer And Hydrometer</c:v>
                </c:pt>
                <c:pt idx="31">
                  <c:v>Wrought Iron Bathroom Shelf Wall Mounted Free Punch Toilet Rack</c:v>
                </c:pt>
                <c:pt idx="32">
                  <c:v>Baby Early Education Shape And Color Cognitive Training Toys</c:v>
                </c:pt>
                <c:pt idx="33">
                  <c:v>Metal Decorative Hooks Key Hangers Entryway Wall Hooks Towel Hooks - Home</c:v>
                </c:pt>
                <c:pt idx="34">
                  <c:v>40cm Gold DIY Acrylic Wall Sticker Clock</c:v>
                </c:pt>
                <c:pt idx="35">
                  <c:v>Balloon Insert, Birthday Party Balloon Set, PU Leather</c:v>
                </c:pt>
                <c:pt idx="36">
                  <c:v>Multifunctional Hanging Storage Box Storage Bag (4 Layers)</c:v>
                </c:pt>
                <c:pt idx="37">
                  <c:v>Angle Measuring Tool Full Metal Multi Angle Measuring Tool</c:v>
                </c:pt>
                <c:pt idx="38">
                  <c:v>Car Phone Charging Stand</c:v>
                </c:pt>
                <c:pt idx="39">
                  <c:v>3PCS Rotary Scraper Thermomix For Kitchen</c:v>
                </c:pt>
                <c:pt idx="40">
                  <c:v>Christmas Fence Garden Decorations Outdoor For Holiday Home</c:v>
                </c:pt>
                <c:pt idx="41">
                  <c:v>2PCS/LOT Solar LED Outdoor Intelligent Light Controlled Wall Lamp</c:v>
                </c:pt>
                <c:pt idx="42">
                  <c:v>Genebre 115 In 1 Screwdriver Repairing Tool Set For IPhone Cellphone Hand Tool</c:v>
                </c:pt>
                <c:pt idx="43">
                  <c:v>Cute Christmas Fence Garden Decorations For Holiday Home</c:v>
                </c:pt>
                <c:pt idx="44">
                  <c:v>Angle Measuring Tool Full Metal Multi Angle Measuring Tool</c:v>
                </c:pt>
                <c:pt idx="45">
                  <c:v>Outdoor Portable Water Bottle With Medicine Box - 600ML - Black</c:v>
                </c:pt>
                <c:pt idx="46">
                  <c:v>Wall Clock With Hidden Safe Box</c:v>
                </c:pt>
                <c:pt idx="47">
                  <c:v>LED Romantic Spaceship Starry Sky Projector,Children's Bedroom Night Light-Blue</c:v>
                </c:pt>
                <c:pt idx="48">
                  <c:v>6 Layers Steel Pipe Assembling Dustproof Storage Shoe Cabinet</c:v>
                </c:pt>
                <c:pt idx="49">
                  <c:v>115  Piece Set Of Multifunctional Precision Screwdrivers</c:v>
                </c:pt>
                <c:pt idx="50">
                  <c:v>7-piece Set Of Storage Bags, Travel Storage Bags, Shoe Bags</c:v>
                </c:pt>
                <c:pt idx="51">
                  <c:v>Bedroom Simple Floor Hanging Clothes Rack Single Pole Hat Rack - White</c:v>
                </c:pt>
                <c:pt idx="52">
                  <c:v>12 Litre Insulated Lunch Box Grey</c:v>
                </c:pt>
                <c:pt idx="53">
                  <c:v>Desk Foldable Fan Adjustable Fan Strong Wind 3 Gear Usb</c:v>
                </c:pt>
                <c:pt idx="54">
                  <c:v>100 Pcs Crochet Hook Tool Set Knitting Hook Set With Box</c:v>
                </c:pt>
                <c:pt idx="55">
                  <c:v>Artificial Potted Flowers Room Decorative Flowers (2 Pieces)</c:v>
                </c:pt>
                <c:pt idx="56">
                  <c:v>3D Waterproof EVA Plastic Shower Curtain 1.8*2Mtrs</c:v>
                </c:pt>
                <c:pt idx="57">
                  <c:v>Christmas Elk Fence Yard Lawn Decorations Cute For Holidays</c:v>
                </c:pt>
                <c:pt idx="58">
                  <c:v>380ML USB Rechargeable Portable Small Blenders And Juicers</c:v>
                </c:pt>
                <c:pt idx="59">
                  <c:v>8in1 Screwdriver With LED Light</c:v>
                </c:pt>
                <c:pt idx="60">
                  <c:v>LED Solar Street Light-fake Camera</c:v>
                </c:pt>
                <c:pt idx="61">
                  <c:v>Memory Foam Neck Pillow Cover, With Pillow Core - 50*30cm</c:v>
                </c:pt>
                <c:pt idx="62">
                  <c:v>60W Hot Melt Glue Sprayer - Efficient And Stable Glue Dispensing</c:v>
                </c:pt>
                <c:pt idx="63">
                  <c:v>Cartoon Embroidered Mini Towel Bear Cotton Wash Cloth Hand 4pcs</c:v>
                </c:pt>
                <c:pt idx="64">
                  <c:v>2pcs Solar Street Light Flood Light Outdoor</c:v>
                </c:pt>
                <c:pt idx="65">
                  <c:v>2PCS Ice Silk Square Cushion Cover Pillowcases - 65x65cm</c:v>
                </c:pt>
                <c:pt idx="66">
                  <c:v>VIC Wireless Vacuum Cleaner Dual Use For Home And Car 120W High Power Powerful</c:v>
                </c:pt>
                <c:pt idx="67">
                  <c:v>LASA FOLDING TABLE SERVING STAND</c:v>
                </c:pt>
                <c:pt idx="68">
                  <c:v>Portable Wine Table With Folding Round Table</c:v>
                </c:pt>
                <c:pt idx="69">
                  <c:v>12 Litre Black Insulated Lunch Box</c:v>
                </c:pt>
                <c:pt idx="70">
                  <c:v>9pcs Gas Mask, For Painting, Dust, Formaldehyde Grinding, Polishing</c:v>
                </c:pt>
                <c:pt idx="71">
                  <c:v>Multi-purpose Rice Drainage Basket And Fruit And Vegetable Drainage Sieve</c:v>
                </c:pt>
                <c:pt idx="72">
                  <c:v>5m Waterproof Spherical LED String Lights Outdoor Ball Chain Lights Party Lighting Decoration Adjustable</c:v>
                </c:pt>
                <c:pt idx="73">
                  <c:v>Portable Soap Dispenser Kitchen Detergent Press Box Kitchen Tools</c:v>
                </c:pt>
                <c:pt idx="74">
                  <c:v>Office Chair Lumbar Back Support Spine Posture Correction Pillow Car Cushion</c:v>
                </c:pt>
                <c:pt idx="75">
                  <c:v>Wall-Mounted Toothbrush Toothpaste Holder With Multiple Slots</c:v>
                </c:pt>
                <c:pt idx="76">
                  <c:v>Wall Mount Automatic Toothpaste Dispenser Toothbrush Holder Toothpaste Squeezer</c:v>
                </c:pt>
                <c:pt idx="77">
                  <c:v>Electric LED UV Mosquito Killer Lamp, Outdoor/Indoor Fly Killer Trap Light -USB</c:v>
                </c:pt>
                <c:pt idx="78">
                  <c:v>Weighing Scale Digital Bathroom Body Fat Scale USB-Black</c:v>
                </c:pt>
                <c:pt idx="79">
                  <c:v>13 In 1 Home Repair Tools Box Kit Set</c:v>
                </c:pt>
                <c:pt idx="80">
                  <c:v>DIY File Folder, Office Drawer File Holder, Pen Holder, Desktop Storage Rack</c:v>
                </c:pt>
                <c:pt idx="81">
                  <c:v>Foldable Overbed Table/Desk</c:v>
                </c:pt>
                <c:pt idx="82">
                  <c:v>Shower Nozzle Cleaning Unclogging Needle Mini Crevice Small Hole Cleaning Brush</c:v>
                </c:pt>
                <c:pt idx="83">
                  <c:v>Pen Grips For Kids Pen Grip Posture Correction Tool For Kids</c:v>
                </c:pt>
                <c:pt idx="84">
                  <c:v>2 Pairs Cowhide Split Leather Work Gloves.32â„‰ Or Above Welding Gloves</c:v>
                </c:pt>
                <c:pt idx="85">
                  <c:v>Multifunction Laser Level With Adjustment Tripod</c:v>
                </c:pt>
                <c:pt idx="86">
                  <c:v>Cushion Silicone Butt Cushion Summer Ice Cushion Honeycomb Gel Cushion</c:v>
                </c:pt>
                <c:pt idx="87">
                  <c:v>Portable Home Small Air Humidifier 3-Speed Fan - Green</c:v>
                </c:pt>
                <c:pt idx="88">
                  <c:v>52 Pieces Cake Decorating Tool Set Gift Kit Baking Supplies</c:v>
                </c:pt>
                <c:pt idx="89">
                  <c:v>Thickening Multipurpose Non Stick Easy To Clean Heat Resistant Spoon Pad</c:v>
                </c:pt>
                <c:pt idx="90">
                  <c:v>LED Eye Protection  Desk Lamp , Study, Reading, USB Fan - Double Pen Holder</c:v>
                </c:pt>
                <c:pt idx="91">
                  <c:v>4pcs Bathroom/Kitchen Towel Rack,Roll Paper Holder,Towel Bars,Hook</c:v>
                </c:pt>
                <c:pt idx="92">
                  <c:v>24 Grid Wall-mounted Sundries Organiser Fabric Closet Bag Storage Rack</c:v>
                </c:pt>
                <c:pt idx="93">
                  <c:v>53Pcs/Set Yarn Knitting Crochet Hooks With Bag - Fortune Cat</c:v>
                </c:pt>
                <c:pt idx="94">
                  <c:v>53 Pieces/Set Yarn Knitting Crochet Hooks With Bag - Pansies</c:v>
                </c:pt>
                <c:pt idx="95">
                  <c:v>LASA Aluminum Folding Truck Hand Cart - 68kg Max</c:v>
                </c:pt>
                <c:pt idx="96">
                  <c:v>LASA 3 Tier Bamboo Shoe Bench Storage Shelf</c:v>
                </c:pt>
                <c:pt idx="97">
                  <c:v>5-PCS Stainless Steel Cooking Pot Set With Steamed Slices</c:v>
                </c:pt>
                <c:pt idx="98">
                  <c:v>Shower Cap Wide Elastic Band Cover Reusable Bashroom Cap</c:v>
                </c:pt>
                <c:pt idx="99">
                  <c:v>5 Pieces/set Of Stainless Steel Induction Cooker Pots</c:v>
                </c:pt>
                <c:pt idx="100">
                  <c:v>Portable Mini Cordless Car Vacuum Cleaner - Blue</c:v>
                </c:pt>
                <c:pt idx="101">
                  <c:v>MultiFunctional Storage Rack Multi-layer Bookshelf</c:v>
                </c:pt>
                <c:pt idx="102">
                  <c:v>Large Lazy Inflatable Sofa Chairs PVC Lounger Seat Bag</c:v>
                </c:pt>
                <c:pt idx="103">
                  <c:v>137 Pieces Cake Decorating Tool Set Baking Supplies</c:v>
                </c:pt>
                <c:pt idx="104">
                  <c:v>LASA Stainless Steel Double Wall Mount Soap Dispenser - 500ml</c:v>
                </c:pt>
                <c:pt idx="105">
                  <c:v>12V 19500rpm Handheld Electric Angle Grinder Tool - UK - Yellow/Black</c:v>
                </c:pt>
                <c:pt idx="106">
                  <c:v>Portable Wardrobe Nonwoven With 3 Hanging Rods And 6 Storage Shelves</c:v>
                </c:pt>
                <c:pt idx="107">
                  <c:v>220V 60W Electric Soldering Iron Kits With Tools, Tips, And Multimeter</c:v>
                </c:pt>
                <c:pt idx="108">
                  <c:v>LED Wall Digital Alarm Clock Study Home 12 / 24H Clock Calendar</c:v>
                </c:pt>
                <c:pt idx="109">
                  <c:v>Metal Wall Clock Silver Dial Crystal Jewelry Round Home Decoration Wall Clock</c:v>
                </c:pt>
                <c:pt idx="110">
                  <c:v>Konka Healty Electric Kettle, 24-hour Heat Preservation,1.5L,800W, White</c:v>
                </c:pt>
                <c:pt idx="111">
                  <c:v>32PCS Portable Cordless Drill Set With Cyclic Battery Drive -26 Variable Speed</c:v>
                </c:pt>
              </c:strCache>
            </c:strRef>
          </c:cat>
          <c:val>
            <c:numRef>
              <c:f>'Descriptive Statistics 1.2'!$B$2:$B$113</c:f>
              <c:numCache>
                <c:formatCode>0.00</c:formatCode>
                <c:ptCount val="112"/>
                <c:pt idx="0">
                  <c:v>38</c:v>
                </c:pt>
                <c:pt idx="1">
                  <c:v>105</c:v>
                </c:pt>
                <c:pt idx="2">
                  <c:v>169</c:v>
                </c:pt>
                <c:pt idx="3">
                  <c:v>171</c:v>
                </c:pt>
                <c:pt idx="4">
                  <c:v>176</c:v>
                </c:pt>
                <c:pt idx="5">
                  <c:v>180</c:v>
                </c:pt>
                <c:pt idx="6">
                  <c:v>185</c:v>
                </c:pt>
                <c:pt idx="7">
                  <c:v>195</c:v>
                </c:pt>
                <c:pt idx="8">
                  <c:v>198</c:v>
                </c:pt>
                <c:pt idx="9">
                  <c:v>199</c:v>
                </c:pt>
                <c:pt idx="10">
                  <c:v>199</c:v>
                </c:pt>
                <c:pt idx="11">
                  <c:v>230</c:v>
                </c:pt>
                <c:pt idx="12">
                  <c:v>238</c:v>
                </c:pt>
                <c:pt idx="13">
                  <c:v>248</c:v>
                </c:pt>
                <c:pt idx="14">
                  <c:v>274</c:v>
                </c:pt>
                <c:pt idx="15">
                  <c:v>299</c:v>
                </c:pt>
                <c:pt idx="16">
                  <c:v>299</c:v>
                </c:pt>
                <c:pt idx="17">
                  <c:v>325</c:v>
                </c:pt>
                <c:pt idx="18">
                  <c:v>330</c:v>
                </c:pt>
                <c:pt idx="19">
                  <c:v>332</c:v>
                </c:pt>
                <c:pt idx="20">
                  <c:v>345</c:v>
                </c:pt>
                <c:pt idx="21">
                  <c:v>382</c:v>
                </c:pt>
                <c:pt idx="22">
                  <c:v>389</c:v>
                </c:pt>
                <c:pt idx="23">
                  <c:v>399</c:v>
                </c:pt>
                <c:pt idx="24">
                  <c:v>420</c:v>
                </c:pt>
                <c:pt idx="25">
                  <c:v>445</c:v>
                </c:pt>
                <c:pt idx="26">
                  <c:v>450</c:v>
                </c:pt>
                <c:pt idx="27">
                  <c:v>458</c:v>
                </c:pt>
                <c:pt idx="28">
                  <c:v>475</c:v>
                </c:pt>
                <c:pt idx="29">
                  <c:v>499</c:v>
                </c:pt>
                <c:pt idx="30">
                  <c:v>501</c:v>
                </c:pt>
                <c:pt idx="31">
                  <c:v>509</c:v>
                </c:pt>
                <c:pt idx="32">
                  <c:v>525</c:v>
                </c:pt>
                <c:pt idx="33">
                  <c:v>527</c:v>
                </c:pt>
                <c:pt idx="34">
                  <c:v>552</c:v>
                </c:pt>
                <c:pt idx="35">
                  <c:v>610</c:v>
                </c:pt>
                <c:pt idx="36">
                  <c:v>630</c:v>
                </c:pt>
                <c:pt idx="37">
                  <c:v>657</c:v>
                </c:pt>
                <c:pt idx="38">
                  <c:v>671</c:v>
                </c:pt>
                <c:pt idx="39">
                  <c:v>690</c:v>
                </c:pt>
                <c:pt idx="40">
                  <c:v>699</c:v>
                </c:pt>
                <c:pt idx="41">
                  <c:v>790</c:v>
                </c:pt>
                <c:pt idx="42">
                  <c:v>799</c:v>
                </c:pt>
                <c:pt idx="43">
                  <c:v>799</c:v>
                </c:pt>
                <c:pt idx="44">
                  <c:v>799</c:v>
                </c:pt>
                <c:pt idx="45">
                  <c:v>799</c:v>
                </c:pt>
                <c:pt idx="46">
                  <c:v>850</c:v>
                </c:pt>
                <c:pt idx="47">
                  <c:v>880</c:v>
                </c:pt>
                <c:pt idx="48">
                  <c:v>899</c:v>
                </c:pt>
                <c:pt idx="49">
                  <c:v>950</c:v>
                </c:pt>
                <c:pt idx="50">
                  <c:v>968</c:v>
                </c:pt>
                <c:pt idx="51">
                  <c:v>979</c:v>
                </c:pt>
                <c:pt idx="52">
                  <c:v>980</c:v>
                </c:pt>
                <c:pt idx="53">
                  <c:v>988</c:v>
                </c:pt>
                <c:pt idx="54">
                  <c:v>990</c:v>
                </c:pt>
                <c:pt idx="55">
                  <c:v>990</c:v>
                </c:pt>
                <c:pt idx="56">
                  <c:v>998</c:v>
                </c:pt>
                <c:pt idx="57">
                  <c:v>999</c:v>
                </c:pt>
                <c:pt idx="58">
                  <c:v>1000</c:v>
                </c:pt>
                <c:pt idx="59">
                  <c:v>1080</c:v>
                </c:pt>
                <c:pt idx="60">
                  <c:v>1150</c:v>
                </c:pt>
                <c:pt idx="61">
                  <c:v>1189</c:v>
                </c:pt>
                <c:pt idx="62">
                  <c:v>1190</c:v>
                </c:pt>
                <c:pt idx="63">
                  <c:v>1190</c:v>
                </c:pt>
                <c:pt idx="64">
                  <c:v>1200</c:v>
                </c:pt>
                <c:pt idx="65">
                  <c:v>1200</c:v>
                </c:pt>
                <c:pt idx="66">
                  <c:v>1220</c:v>
                </c:pt>
                <c:pt idx="67">
                  <c:v>1274</c:v>
                </c:pt>
                <c:pt idx="68">
                  <c:v>1300</c:v>
                </c:pt>
                <c:pt idx="69">
                  <c:v>1350</c:v>
                </c:pt>
                <c:pt idx="70">
                  <c:v>1420</c:v>
                </c:pt>
                <c:pt idx="71">
                  <c:v>1459</c:v>
                </c:pt>
                <c:pt idx="72">
                  <c:v>1460</c:v>
                </c:pt>
                <c:pt idx="73">
                  <c:v>1462</c:v>
                </c:pt>
                <c:pt idx="74">
                  <c:v>1466</c:v>
                </c:pt>
                <c:pt idx="75">
                  <c:v>1468</c:v>
                </c:pt>
                <c:pt idx="76">
                  <c:v>1526</c:v>
                </c:pt>
                <c:pt idx="77">
                  <c:v>1570</c:v>
                </c:pt>
                <c:pt idx="78">
                  <c:v>1580</c:v>
                </c:pt>
                <c:pt idx="79">
                  <c:v>1600</c:v>
                </c:pt>
                <c:pt idx="80">
                  <c:v>1620</c:v>
                </c:pt>
                <c:pt idx="81">
                  <c:v>1650</c:v>
                </c:pt>
                <c:pt idx="82">
                  <c:v>1658</c:v>
                </c:pt>
                <c:pt idx="83">
                  <c:v>1660</c:v>
                </c:pt>
                <c:pt idx="84">
                  <c:v>1666</c:v>
                </c:pt>
                <c:pt idx="85">
                  <c:v>1680</c:v>
                </c:pt>
                <c:pt idx="86">
                  <c:v>1732</c:v>
                </c:pt>
                <c:pt idx="87">
                  <c:v>1740</c:v>
                </c:pt>
                <c:pt idx="88">
                  <c:v>1758</c:v>
                </c:pt>
                <c:pt idx="89">
                  <c:v>1768</c:v>
                </c:pt>
                <c:pt idx="90">
                  <c:v>1820</c:v>
                </c:pt>
                <c:pt idx="91">
                  <c:v>1860</c:v>
                </c:pt>
                <c:pt idx="92">
                  <c:v>1875</c:v>
                </c:pt>
                <c:pt idx="93">
                  <c:v>1940</c:v>
                </c:pt>
                <c:pt idx="94">
                  <c:v>1980</c:v>
                </c:pt>
                <c:pt idx="95">
                  <c:v>2025</c:v>
                </c:pt>
                <c:pt idx="96">
                  <c:v>2048</c:v>
                </c:pt>
                <c:pt idx="97">
                  <c:v>2115</c:v>
                </c:pt>
                <c:pt idx="98">
                  <c:v>2132</c:v>
                </c:pt>
                <c:pt idx="99">
                  <c:v>2170</c:v>
                </c:pt>
                <c:pt idx="100">
                  <c:v>2199</c:v>
                </c:pt>
                <c:pt idx="101">
                  <c:v>2200</c:v>
                </c:pt>
                <c:pt idx="102">
                  <c:v>2300</c:v>
                </c:pt>
                <c:pt idx="103">
                  <c:v>2319</c:v>
                </c:pt>
                <c:pt idx="104">
                  <c:v>2750</c:v>
                </c:pt>
                <c:pt idx="105">
                  <c:v>2799</c:v>
                </c:pt>
                <c:pt idx="106">
                  <c:v>2880</c:v>
                </c:pt>
                <c:pt idx="107">
                  <c:v>2999</c:v>
                </c:pt>
                <c:pt idx="108">
                  <c:v>2999</c:v>
                </c:pt>
                <c:pt idx="109">
                  <c:v>3546</c:v>
                </c:pt>
                <c:pt idx="110">
                  <c:v>3640</c:v>
                </c:pt>
                <c:pt idx="111">
                  <c:v>3750</c:v>
                </c:pt>
              </c:numCache>
            </c:numRef>
          </c:val>
          <c:extLst>
            <c:ext xmlns:c16="http://schemas.microsoft.com/office/drawing/2014/chart" uri="{C3380CC4-5D6E-409C-BE32-E72D297353CC}">
              <c16:uniqueId val="{00000000-3E2E-40D5-A998-3119A43C966B}"/>
            </c:ext>
          </c:extLst>
        </c:ser>
        <c:dLbls>
          <c:showLegendKey val="0"/>
          <c:showVal val="0"/>
          <c:showCatName val="0"/>
          <c:showSerName val="0"/>
          <c:showPercent val="0"/>
          <c:showBubbleSize val="0"/>
        </c:dLbls>
        <c:gapWidth val="182"/>
        <c:axId val="505980928"/>
        <c:axId val="505984864"/>
      </c:barChart>
      <c:catAx>
        <c:axId val="50598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5984864"/>
        <c:crosses val="autoZero"/>
        <c:auto val="1"/>
        <c:lblAlgn val="ctr"/>
        <c:lblOffset val="100"/>
        <c:noMultiLvlLbl val="0"/>
      </c:catAx>
      <c:valAx>
        <c:axId val="5059848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59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ok Antiqua" panose="02040602050305030304" pitchFamily="18" charset="0"/>
                <a:ea typeface="+mn-ea"/>
                <a:cs typeface="+mn-cs"/>
              </a:defRPr>
            </a:pPr>
            <a:r>
              <a:rPr lang="en-US">
                <a:latin typeface="Book Antiqua" panose="02040602050305030304" pitchFamily="18" charset="0"/>
              </a:rPr>
              <a:t>DISCOUNT</a:t>
            </a:r>
            <a:r>
              <a:rPr lang="en-US" baseline="0">
                <a:latin typeface="Book Antiqua" panose="02040602050305030304" pitchFamily="18" charset="0"/>
              </a:rPr>
              <a:t> PERCENTAGE VS REVIEW COUNT</a:t>
            </a:r>
            <a:endParaRPr lang="en-US">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ok Antiqua" panose="02040602050305030304" pitchFamily="18" charset="0"/>
              <a:ea typeface="+mn-ea"/>
              <a:cs typeface="+mn-cs"/>
            </a:defRPr>
          </a:pPr>
          <a:endParaRPr lang="en-KE"/>
        </a:p>
      </c:txPr>
    </c:title>
    <c:autoTitleDeleted val="0"/>
    <c:plotArea>
      <c:layout/>
      <c:scatterChart>
        <c:scatterStyle val="lineMarker"/>
        <c:varyColors val="0"/>
        <c:ser>
          <c:idx val="0"/>
          <c:order val="0"/>
          <c:tx>
            <c:strRef>
              <c:f>'Trend Analysis 1'!$B$1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'Trend Analysis 1'!$A$2:$A$114</c:f>
              <c:numCache>
                <c:formatCode>0%</c:formatCode>
                <c:ptCount val="113"/>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pt idx="112">
                  <c:v>0.36776785714285715</c:v>
                </c:pt>
              </c:numCache>
            </c:numRef>
          </c:xVal>
          <c:yVal>
            <c:numRef>
              <c:f>'Trend Analysis 1'!$B$2:$B$114</c:f>
              <c:numCache>
                <c:formatCode>General</c:formatCode>
                <c:ptCount val="113"/>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0-FD61-49EE-8F37-85F9957623F1}"/>
            </c:ext>
          </c:extLst>
        </c:ser>
        <c:dLbls>
          <c:showLegendKey val="0"/>
          <c:showVal val="0"/>
          <c:showCatName val="0"/>
          <c:showSerName val="0"/>
          <c:showPercent val="0"/>
          <c:showBubbleSize val="0"/>
        </c:dLbls>
        <c:axId val="508259352"/>
        <c:axId val="508259024"/>
      </c:scatterChart>
      <c:valAx>
        <c:axId val="5082593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8259024"/>
        <c:crosses val="autoZero"/>
        <c:crossBetween val="midCat"/>
      </c:valAx>
      <c:valAx>
        <c:axId val="50825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82593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ok Antiqua" panose="02040602050305030304" pitchFamily="18" charset="0"/>
                <a:ea typeface="+mn-ea"/>
                <a:cs typeface="+mn-cs"/>
              </a:defRPr>
            </a:pPr>
            <a:r>
              <a:rPr lang="en-US">
                <a:latin typeface="Book Antiqua" panose="02040602050305030304" pitchFamily="18" charset="0"/>
              </a:rPr>
              <a:t>NUMBER OF REVIEWS</a:t>
            </a:r>
            <a:r>
              <a:rPr lang="en-US" baseline="0">
                <a:latin typeface="Book Antiqua" panose="02040602050305030304" pitchFamily="18" charset="0"/>
              </a:rPr>
              <a:t> VS CUSTOMER RATING</a:t>
            </a:r>
            <a:endParaRPr lang="en-US">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ok Antiqua" panose="02040602050305030304" pitchFamily="18" charset="0"/>
              <a:ea typeface="+mn-ea"/>
              <a:cs typeface="+mn-cs"/>
            </a:defRPr>
          </a:pPr>
          <a:endParaRPr lang="en-KE"/>
        </a:p>
      </c:txPr>
    </c:title>
    <c:autoTitleDeleted val="0"/>
    <c:plotArea>
      <c:layout/>
      <c:scatterChart>
        <c:scatterStyle val="lineMarker"/>
        <c:varyColors val="0"/>
        <c:ser>
          <c:idx val="0"/>
          <c:order val="0"/>
          <c:tx>
            <c:strRef>
              <c:f>'Trend Analysis 2'!$B$1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'Trend Analysis 2'!$A$2:$A$40</c:f>
              <c:numCache>
                <c:formatCode>0.00</c:formatCode>
                <c:ptCount val="39"/>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numCache>
            </c:numRef>
          </c:xVal>
          <c:yVal>
            <c:numRef>
              <c:f>'Trend Analysis 2'!$B$2:$B$40</c:f>
              <c:numCache>
                <c:formatCode>General</c:formatCode>
                <c:ptCount val="39"/>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numCache>
            </c:numRef>
          </c:yVal>
          <c:smooth val="0"/>
          <c:extLst>
            <c:ext xmlns:c16="http://schemas.microsoft.com/office/drawing/2014/chart" uri="{C3380CC4-5D6E-409C-BE32-E72D297353CC}">
              <c16:uniqueId val="{00000000-F5A6-4129-BAA3-AE95D5CDD9D3}"/>
            </c:ext>
          </c:extLst>
        </c:ser>
        <c:dLbls>
          <c:showLegendKey val="0"/>
          <c:showVal val="0"/>
          <c:showCatName val="0"/>
          <c:showSerName val="0"/>
          <c:showPercent val="0"/>
          <c:showBubbleSize val="0"/>
        </c:dLbls>
        <c:axId val="463661608"/>
        <c:axId val="463661280"/>
      </c:scatterChart>
      <c:valAx>
        <c:axId val="4636616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63661280"/>
        <c:crosses val="autoZero"/>
        <c:crossBetween val="midCat"/>
      </c:valAx>
      <c:valAx>
        <c:axId val="46366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63661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Table!PivotTable1</c:name>
    <c:fmtId val="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Table'!$B$124</c:f>
              <c:strCache>
                <c:ptCount val="1"/>
                <c:pt idx="0">
                  <c:v>Average of 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Table'!$A$125:$A$234</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Table'!$B$125:$B$234</c:f>
              <c:numCache>
                <c:formatCode>General</c:formatCode>
                <c:ptCount val="109"/>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4.4000000000000004</c:v>
                </c:pt>
                <c:pt idx="24">
                  <c:v>4.3</c:v>
                </c:pt>
                <c:pt idx="25">
                  <c:v>4.3</c:v>
                </c:pt>
                <c:pt idx="26">
                  <c:v>4.3</c:v>
                </c:pt>
                <c:pt idx="27">
                  <c:v>4.3</c:v>
                </c:pt>
                <c:pt idx="28">
                  <c:v>4.2</c:v>
                </c:pt>
                <c:pt idx="29">
                  <c:v>4.0999999999999996</c:v>
                </c:pt>
                <c:pt idx="30">
                  <c:v>4.0999999999999996</c:v>
                </c:pt>
                <c:pt idx="31">
                  <c:v>4.0999999999999996</c:v>
                </c:pt>
                <c:pt idx="32">
                  <c:v>4</c:v>
                </c:pt>
                <c:pt idx="33">
                  <c:v>4</c:v>
                </c:pt>
                <c:pt idx="34">
                  <c:v>4</c:v>
                </c:pt>
                <c:pt idx="35">
                  <c:v>4</c:v>
                </c:pt>
                <c:pt idx="36">
                  <c:v>3.8</c:v>
                </c:pt>
                <c:pt idx="37">
                  <c:v>3.8</c:v>
                </c:pt>
                <c:pt idx="38">
                  <c:v>3.8</c:v>
                </c:pt>
                <c:pt idx="39">
                  <c:v>3.3</c:v>
                </c:pt>
                <c:pt idx="40">
                  <c:v>3</c:v>
                </c:pt>
                <c:pt idx="41">
                  <c:v>3</c:v>
                </c:pt>
                <c:pt idx="42">
                  <c:v>3</c:v>
                </c:pt>
                <c:pt idx="43">
                  <c:v>3</c:v>
                </c:pt>
                <c:pt idx="44">
                  <c:v>3</c:v>
                </c:pt>
                <c:pt idx="45">
                  <c:v>2.9</c:v>
                </c:pt>
                <c:pt idx="46">
                  <c:v>2.8</c:v>
                </c:pt>
                <c:pt idx="47">
                  <c:v>2.7</c:v>
                </c:pt>
                <c:pt idx="48">
                  <c:v>2.6</c:v>
                </c:pt>
                <c:pt idx="49">
                  <c:v>2.5</c:v>
                </c:pt>
                <c:pt idx="50">
                  <c:v>2.2999999999999998</c:v>
                </c:pt>
                <c:pt idx="51">
                  <c:v>2.2999999999999998</c:v>
                </c:pt>
                <c:pt idx="52">
                  <c:v>2.2000000000000002</c:v>
                </c:pt>
                <c:pt idx="53">
                  <c:v>2.2000000000000002</c:v>
                </c:pt>
                <c:pt idx="54">
                  <c:v>2.1</c:v>
                </c:pt>
                <c:pt idx="55">
                  <c:v>2.1</c:v>
                </c:pt>
                <c:pt idx="56">
                  <c:v>2</c:v>
                </c:pt>
              </c:numCache>
            </c:numRef>
          </c:val>
          <c:smooth val="0"/>
          <c:extLst>
            <c:ext xmlns:c16="http://schemas.microsoft.com/office/drawing/2014/chart" uri="{C3380CC4-5D6E-409C-BE32-E72D297353CC}">
              <c16:uniqueId val="{00000000-5915-4BC8-929C-E6A6503229EA}"/>
            </c:ext>
          </c:extLst>
        </c:ser>
        <c:ser>
          <c:idx val="1"/>
          <c:order val="1"/>
          <c:tx>
            <c:strRef>
              <c:f>'Pivot Table'!$C$124</c:f>
              <c:strCache>
                <c:ptCount val="1"/>
                <c:pt idx="0">
                  <c:v>Average of Discount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Table'!$A$125:$A$234</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Table'!$C$125:$C$234</c:f>
              <c:numCache>
                <c:formatCode>General</c:formatCode>
                <c:ptCount val="109"/>
                <c:pt idx="0">
                  <c:v>0.53</c:v>
                </c:pt>
                <c:pt idx="1">
                  <c:v>0.49</c:v>
                </c:pt>
                <c:pt idx="2">
                  <c:v>0.21</c:v>
                </c:pt>
                <c:pt idx="3">
                  <c:v>0.51</c:v>
                </c:pt>
                <c:pt idx="4">
                  <c:v>0.46</c:v>
                </c:pt>
                <c:pt idx="5">
                  <c:v>0.49</c:v>
                </c:pt>
                <c:pt idx="6">
                  <c:v>0.4</c:v>
                </c:pt>
                <c:pt idx="7">
                  <c:v>0.47</c:v>
                </c:pt>
                <c:pt idx="8">
                  <c:v>0.26</c:v>
                </c:pt>
                <c:pt idx="9">
                  <c:v>0.55000000000000004</c:v>
                </c:pt>
                <c:pt idx="10">
                  <c:v>0.34</c:v>
                </c:pt>
                <c:pt idx="11">
                  <c:v>0.34</c:v>
                </c:pt>
                <c:pt idx="12">
                  <c:v>0.27</c:v>
                </c:pt>
                <c:pt idx="13">
                  <c:v>0.37</c:v>
                </c:pt>
                <c:pt idx="14">
                  <c:v>0.24</c:v>
                </c:pt>
                <c:pt idx="15">
                  <c:v>0.19</c:v>
                </c:pt>
                <c:pt idx="16">
                  <c:v>0.49</c:v>
                </c:pt>
                <c:pt idx="17">
                  <c:v>0.25</c:v>
                </c:pt>
                <c:pt idx="18">
                  <c:v>0.35</c:v>
                </c:pt>
                <c:pt idx="19">
                  <c:v>0.27</c:v>
                </c:pt>
                <c:pt idx="20">
                  <c:v>0.42</c:v>
                </c:pt>
                <c:pt idx="21">
                  <c:v>0.38</c:v>
                </c:pt>
                <c:pt idx="22">
                  <c:v>0.38</c:v>
                </c:pt>
                <c:pt idx="23">
                  <c:v>0.23</c:v>
                </c:pt>
                <c:pt idx="24">
                  <c:v>0.48</c:v>
                </c:pt>
                <c:pt idx="25">
                  <c:v>0.41</c:v>
                </c:pt>
                <c:pt idx="26">
                  <c:v>0.54</c:v>
                </c:pt>
                <c:pt idx="27">
                  <c:v>0.52</c:v>
                </c:pt>
                <c:pt idx="28">
                  <c:v>0.33</c:v>
                </c:pt>
                <c:pt idx="29">
                  <c:v>0.47</c:v>
                </c:pt>
                <c:pt idx="30">
                  <c:v>0.3</c:v>
                </c:pt>
                <c:pt idx="31">
                  <c:v>0.2</c:v>
                </c:pt>
                <c:pt idx="32">
                  <c:v>0.37</c:v>
                </c:pt>
                <c:pt idx="33">
                  <c:v>0.49</c:v>
                </c:pt>
                <c:pt idx="34">
                  <c:v>0.09</c:v>
                </c:pt>
                <c:pt idx="35">
                  <c:v>0.35</c:v>
                </c:pt>
                <c:pt idx="36">
                  <c:v>0.45</c:v>
                </c:pt>
                <c:pt idx="37">
                  <c:v>0.18</c:v>
                </c:pt>
                <c:pt idx="38">
                  <c:v>0.32</c:v>
                </c:pt>
                <c:pt idx="39">
                  <c:v>0.53</c:v>
                </c:pt>
                <c:pt idx="40">
                  <c:v>0.54</c:v>
                </c:pt>
                <c:pt idx="41">
                  <c:v>0.28999999999999998</c:v>
                </c:pt>
                <c:pt idx="42">
                  <c:v>0.39</c:v>
                </c:pt>
                <c:pt idx="43">
                  <c:v>0.46</c:v>
                </c:pt>
                <c:pt idx="44">
                  <c:v>0.43</c:v>
                </c:pt>
                <c:pt idx="45">
                  <c:v>0.22</c:v>
                </c:pt>
                <c:pt idx="46">
                  <c:v>0.49</c:v>
                </c:pt>
                <c:pt idx="47">
                  <c:v>0.52</c:v>
                </c:pt>
                <c:pt idx="48">
                  <c:v>0.45</c:v>
                </c:pt>
                <c:pt idx="49">
                  <c:v>0.13</c:v>
                </c:pt>
                <c:pt idx="50">
                  <c:v>0.43</c:v>
                </c:pt>
                <c:pt idx="51">
                  <c:v>0.5</c:v>
                </c:pt>
                <c:pt idx="52">
                  <c:v>0.45</c:v>
                </c:pt>
                <c:pt idx="53">
                  <c:v>0.47</c:v>
                </c:pt>
                <c:pt idx="54">
                  <c:v>0.47</c:v>
                </c:pt>
                <c:pt idx="55">
                  <c:v>0.55000000000000004</c:v>
                </c:pt>
                <c:pt idx="56">
                  <c:v>0.5</c:v>
                </c:pt>
                <c:pt idx="57">
                  <c:v>0.02</c:v>
                </c:pt>
                <c:pt idx="58">
                  <c:v>0.43</c:v>
                </c:pt>
                <c:pt idx="59">
                  <c:v>0.48</c:v>
                </c:pt>
                <c:pt idx="60">
                  <c:v>0.41</c:v>
                </c:pt>
                <c:pt idx="61">
                  <c:v>0.49</c:v>
                </c:pt>
                <c:pt idx="62">
                  <c:v>0.49</c:v>
                </c:pt>
                <c:pt idx="63">
                  <c:v>0.02</c:v>
                </c:pt>
                <c:pt idx="64">
                  <c:v>0.49</c:v>
                </c:pt>
                <c:pt idx="65">
                  <c:v>0.02</c:v>
                </c:pt>
                <c:pt idx="66">
                  <c:v>0.42</c:v>
                </c:pt>
                <c:pt idx="67">
                  <c:v>0.46</c:v>
                </c:pt>
                <c:pt idx="68">
                  <c:v>0.49</c:v>
                </c:pt>
                <c:pt idx="69">
                  <c:v>0.11</c:v>
                </c:pt>
                <c:pt idx="70">
                  <c:v>0.01</c:v>
                </c:pt>
                <c:pt idx="71">
                  <c:v>0.48</c:v>
                </c:pt>
                <c:pt idx="72">
                  <c:v>0.34</c:v>
                </c:pt>
                <c:pt idx="73">
                  <c:v>0.48</c:v>
                </c:pt>
                <c:pt idx="74">
                  <c:v>0.5</c:v>
                </c:pt>
                <c:pt idx="75">
                  <c:v>0.02</c:v>
                </c:pt>
                <c:pt idx="76">
                  <c:v>0.38</c:v>
                </c:pt>
                <c:pt idx="77">
                  <c:v>0.5</c:v>
                </c:pt>
                <c:pt idx="78">
                  <c:v>0.36</c:v>
                </c:pt>
                <c:pt idx="79">
                  <c:v>0.43</c:v>
                </c:pt>
                <c:pt idx="80">
                  <c:v>0.02</c:v>
                </c:pt>
                <c:pt idx="81">
                  <c:v>0.03</c:v>
                </c:pt>
                <c:pt idx="82">
                  <c:v>0.64</c:v>
                </c:pt>
                <c:pt idx="83">
                  <c:v>0.14000000000000001</c:v>
                </c:pt>
                <c:pt idx="84">
                  <c:v>0.47</c:v>
                </c:pt>
                <c:pt idx="85">
                  <c:v>0.47</c:v>
                </c:pt>
                <c:pt idx="86">
                  <c:v>0.38</c:v>
                </c:pt>
                <c:pt idx="87">
                  <c:v>0.22</c:v>
                </c:pt>
                <c:pt idx="88">
                  <c:v>0.33</c:v>
                </c:pt>
                <c:pt idx="89">
                  <c:v>0.49</c:v>
                </c:pt>
                <c:pt idx="90">
                  <c:v>0.49</c:v>
                </c:pt>
                <c:pt idx="91">
                  <c:v>0.42</c:v>
                </c:pt>
                <c:pt idx="92">
                  <c:v>0.34</c:v>
                </c:pt>
                <c:pt idx="93">
                  <c:v>0.27</c:v>
                </c:pt>
                <c:pt idx="94">
                  <c:v>0.47</c:v>
                </c:pt>
                <c:pt idx="95">
                  <c:v>0.02</c:v>
                </c:pt>
                <c:pt idx="96">
                  <c:v>0.42</c:v>
                </c:pt>
                <c:pt idx="97">
                  <c:v>0.5</c:v>
                </c:pt>
                <c:pt idx="98">
                  <c:v>0.41</c:v>
                </c:pt>
                <c:pt idx="99">
                  <c:v>0.5</c:v>
                </c:pt>
                <c:pt idx="100">
                  <c:v>0.08</c:v>
                </c:pt>
                <c:pt idx="101">
                  <c:v>0.49</c:v>
                </c:pt>
                <c:pt idx="102">
                  <c:v>0.14000000000000001</c:v>
                </c:pt>
                <c:pt idx="103">
                  <c:v>0.04</c:v>
                </c:pt>
                <c:pt idx="104">
                  <c:v>0.24</c:v>
                </c:pt>
                <c:pt idx="105">
                  <c:v>0.5</c:v>
                </c:pt>
                <c:pt idx="106">
                  <c:v>0.5</c:v>
                </c:pt>
                <c:pt idx="107">
                  <c:v>0.55000000000000004</c:v>
                </c:pt>
                <c:pt idx="108">
                  <c:v>0.04</c:v>
                </c:pt>
              </c:numCache>
            </c:numRef>
          </c:val>
          <c:smooth val="0"/>
          <c:extLst>
            <c:ext xmlns:c16="http://schemas.microsoft.com/office/drawing/2014/chart" uri="{C3380CC4-5D6E-409C-BE32-E72D297353CC}">
              <c16:uniqueId val="{00000001-5915-4BC8-929C-E6A6503229EA}"/>
            </c:ext>
          </c:extLst>
        </c:ser>
        <c:ser>
          <c:idx val="2"/>
          <c:order val="2"/>
          <c:tx>
            <c:strRef>
              <c:f>'Pivot Table'!$D$124</c:f>
              <c:strCache>
                <c:ptCount val="1"/>
                <c:pt idx="0">
                  <c:v>Sum of Review</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Table'!$A$125:$A$234</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Table'!$D$125:$D$234</c:f>
              <c:numCache>
                <c:formatCode>General</c:formatCode>
                <c:ptCount val="109"/>
                <c:pt idx="0">
                  <c:v>-2</c:v>
                </c:pt>
                <c:pt idx="1">
                  <c:v>-3</c:v>
                </c:pt>
                <c:pt idx="2">
                  <c:v>-1</c:v>
                </c:pt>
                <c:pt idx="3">
                  <c:v>-2</c:v>
                </c:pt>
                <c:pt idx="4">
                  <c:v>-2</c:v>
                </c:pt>
                <c:pt idx="5">
                  <c:v>-1</c:v>
                </c:pt>
                <c:pt idx="6">
                  <c:v>-1</c:v>
                </c:pt>
                <c:pt idx="7">
                  <c:v>-12</c:v>
                </c:pt>
                <c:pt idx="8">
                  <c:v>-5</c:v>
                </c:pt>
                <c:pt idx="9">
                  <c:v>-5</c:v>
                </c:pt>
                <c:pt idx="10">
                  <c:v>-12</c:v>
                </c:pt>
                <c:pt idx="11">
                  <c:v>-39</c:v>
                </c:pt>
                <c:pt idx="12">
                  <c:v>-20</c:v>
                </c:pt>
                <c:pt idx="13">
                  <c:v>-7</c:v>
                </c:pt>
                <c:pt idx="14">
                  <c:v>-55</c:v>
                </c:pt>
                <c:pt idx="15">
                  <c:v>-5</c:v>
                </c:pt>
                <c:pt idx="16">
                  <c:v>-44</c:v>
                </c:pt>
                <c:pt idx="17">
                  <c:v>-24</c:v>
                </c:pt>
                <c:pt idx="18">
                  <c:v>-49</c:v>
                </c:pt>
                <c:pt idx="19">
                  <c:v>-32</c:v>
                </c:pt>
                <c:pt idx="20">
                  <c:v>-6</c:v>
                </c:pt>
                <c:pt idx="21">
                  <c:v>-2</c:v>
                </c:pt>
                <c:pt idx="22">
                  <c:v>-2</c:v>
                </c:pt>
                <c:pt idx="23">
                  <c:v>-14</c:v>
                </c:pt>
                <c:pt idx="24">
                  <c:v>-9</c:v>
                </c:pt>
                <c:pt idx="25">
                  <c:v>-36</c:v>
                </c:pt>
                <c:pt idx="26">
                  <c:v>-7</c:v>
                </c:pt>
                <c:pt idx="27">
                  <c:v>-9</c:v>
                </c:pt>
                <c:pt idx="28">
                  <c:v>-9</c:v>
                </c:pt>
                <c:pt idx="29">
                  <c:v>-14</c:v>
                </c:pt>
                <c:pt idx="30">
                  <c:v>-20</c:v>
                </c:pt>
                <c:pt idx="31">
                  <c:v>-12</c:v>
                </c:pt>
                <c:pt idx="32">
                  <c:v>-2</c:v>
                </c:pt>
                <c:pt idx="33">
                  <c:v>-1</c:v>
                </c:pt>
                <c:pt idx="34">
                  <c:v>-15</c:v>
                </c:pt>
                <c:pt idx="35">
                  <c:v>-6</c:v>
                </c:pt>
                <c:pt idx="36">
                  <c:v>-5</c:v>
                </c:pt>
                <c:pt idx="37">
                  <c:v>-12</c:v>
                </c:pt>
                <c:pt idx="38">
                  <c:v>-13</c:v>
                </c:pt>
                <c:pt idx="39">
                  <c:v>-13</c:v>
                </c:pt>
                <c:pt idx="40">
                  <c:v>-10</c:v>
                </c:pt>
                <c:pt idx="41">
                  <c:v>-5</c:v>
                </c:pt>
                <c:pt idx="42">
                  <c:v>-5</c:v>
                </c:pt>
                <c:pt idx="43">
                  <c:v>-1</c:v>
                </c:pt>
                <c:pt idx="44">
                  <c:v>-5</c:v>
                </c:pt>
                <c:pt idx="45">
                  <c:v>-16</c:v>
                </c:pt>
                <c:pt idx="46">
                  <c:v>-69</c:v>
                </c:pt>
                <c:pt idx="47">
                  <c:v>-15</c:v>
                </c:pt>
                <c:pt idx="48">
                  <c:v>-17</c:v>
                </c:pt>
                <c:pt idx="49">
                  <c:v>-6</c:v>
                </c:pt>
                <c:pt idx="50">
                  <c:v>-6</c:v>
                </c:pt>
                <c:pt idx="51">
                  <c:v>-7</c:v>
                </c:pt>
                <c:pt idx="52">
                  <c:v>-6</c:v>
                </c:pt>
                <c:pt idx="53">
                  <c:v>-6</c:v>
                </c:pt>
                <c:pt idx="54">
                  <c:v>-7</c:v>
                </c:pt>
                <c:pt idx="55">
                  <c:v>-13</c:v>
                </c:pt>
                <c:pt idx="56">
                  <c:v>-1</c:v>
                </c:pt>
              </c:numCache>
            </c:numRef>
          </c:val>
          <c:smooth val="0"/>
          <c:extLst>
            <c:ext xmlns:c16="http://schemas.microsoft.com/office/drawing/2014/chart" uri="{C3380CC4-5D6E-409C-BE32-E72D297353CC}">
              <c16:uniqueId val="{00000002-5915-4BC8-929C-E6A6503229EA}"/>
            </c:ext>
          </c:extLst>
        </c:ser>
        <c:dLbls>
          <c:showLegendKey val="0"/>
          <c:showVal val="0"/>
          <c:showCatName val="0"/>
          <c:showSerName val="0"/>
          <c:showPercent val="0"/>
          <c:showBubbleSize val="0"/>
        </c:dLbls>
        <c:marker val="1"/>
        <c:smooth val="0"/>
        <c:axId val="542696688"/>
        <c:axId val="542697016"/>
      </c:lineChart>
      <c:catAx>
        <c:axId val="54269668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2697016"/>
        <c:crosses val="autoZero"/>
        <c:auto val="1"/>
        <c:lblAlgn val="ctr"/>
        <c:lblOffset val="100"/>
        <c:noMultiLvlLbl val="0"/>
      </c:catAx>
      <c:valAx>
        <c:axId val="542697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269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Table'!$B$241</c:f>
              <c:strCache>
                <c:ptCount val="1"/>
                <c:pt idx="0">
                  <c:v>Total</c:v>
                </c:pt>
              </c:strCache>
            </c:strRef>
          </c:tx>
          <c:spPr>
            <a:solidFill>
              <a:schemeClr val="accent1"/>
            </a:solidFill>
            <a:ln>
              <a:noFill/>
            </a:ln>
            <a:effectLst/>
          </c:spPr>
          <c:invertIfNegative val="0"/>
          <c:cat>
            <c:strRef>
              <c:f>'Pivot Table'!$A$242:$A$351</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Table'!$B$242:$B$351</c:f>
              <c:numCache>
                <c:formatCode>General</c:formatCode>
                <c:ptCount val="109"/>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4.4000000000000004</c:v>
                </c:pt>
                <c:pt idx="24">
                  <c:v>4.3</c:v>
                </c:pt>
                <c:pt idx="25">
                  <c:v>4.3</c:v>
                </c:pt>
                <c:pt idx="26">
                  <c:v>4.3</c:v>
                </c:pt>
                <c:pt idx="27">
                  <c:v>4.3</c:v>
                </c:pt>
                <c:pt idx="28">
                  <c:v>4.2</c:v>
                </c:pt>
                <c:pt idx="29">
                  <c:v>4.0999999999999996</c:v>
                </c:pt>
                <c:pt idx="30">
                  <c:v>4.0999999999999996</c:v>
                </c:pt>
                <c:pt idx="31">
                  <c:v>4.0999999999999996</c:v>
                </c:pt>
                <c:pt idx="32">
                  <c:v>4</c:v>
                </c:pt>
                <c:pt idx="33">
                  <c:v>4</c:v>
                </c:pt>
                <c:pt idx="34">
                  <c:v>4</c:v>
                </c:pt>
                <c:pt idx="35">
                  <c:v>4</c:v>
                </c:pt>
                <c:pt idx="36">
                  <c:v>3.8</c:v>
                </c:pt>
                <c:pt idx="37">
                  <c:v>3.8</c:v>
                </c:pt>
                <c:pt idx="38">
                  <c:v>3.8</c:v>
                </c:pt>
                <c:pt idx="39">
                  <c:v>3.3</c:v>
                </c:pt>
                <c:pt idx="40">
                  <c:v>3</c:v>
                </c:pt>
                <c:pt idx="41">
                  <c:v>3</c:v>
                </c:pt>
                <c:pt idx="42">
                  <c:v>3</c:v>
                </c:pt>
                <c:pt idx="43">
                  <c:v>3</c:v>
                </c:pt>
                <c:pt idx="44">
                  <c:v>3</c:v>
                </c:pt>
                <c:pt idx="45">
                  <c:v>2.9</c:v>
                </c:pt>
                <c:pt idx="46">
                  <c:v>2.8</c:v>
                </c:pt>
                <c:pt idx="47">
                  <c:v>2.7</c:v>
                </c:pt>
                <c:pt idx="48">
                  <c:v>2.6</c:v>
                </c:pt>
                <c:pt idx="49">
                  <c:v>2.5</c:v>
                </c:pt>
                <c:pt idx="50">
                  <c:v>2.2999999999999998</c:v>
                </c:pt>
                <c:pt idx="51">
                  <c:v>2.2999999999999998</c:v>
                </c:pt>
                <c:pt idx="52">
                  <c:v>2.2000000000000002</c:v>
                </c:pt>
                <c:pt idx="53">
                  <c:v>2.2000000000000002</c:v>
                </c:pt>
                <c:pt idx="54">
                  <c:v>2.1</c:v>
                </c:pt>
                <c:pt idx="55">
                  <c:v>2.1</c:v>
                </c:pt>
                <c:pt idx="56">
                  <c:v>2</c:v>
                </c:pt>
              </c:numCache>
            </c:numRef>
          </c:val>
          <c:extLst>
            <c:ext xmlns:c16="http://schemas.microsoft.com/office/drawing/2014/chart" uri="{C3380CC4-5D6E-409C-BE32-E72D297353CC}">
              <c16:uniqueId val="{00000000-CA8D-4BF9-8F4B-BCF786F4E5C4}"/>
            </c:ext>
          </c:extLst>
        </c:ser>
        <c:dLbls>
          <c:showLegendKey val="0"/>
          <c:showVal val="0"/>
          <c:showCatName val="0"/>
          <c:showSerName val="0"/>
          <c:showPercent val="0"/>
          <c:showBubbleSize val="0"/>
        </c:dLbls>
        <c:gapWidth val="219"/>
        <c:overlap val="-27"/>
        <c:axId val="548625096"/>
        <c:axId val="548625752"/>
      </c:barChart>
      <c:catAx>
        <c:axId val="548625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8625752"/>
        <c:crosses val="autoZero"/>
        <c:auto val="1"/>
        <c:lblAlgn val="ctr"/>
        <c:lblOffset val="100"/>
        <c:noMultiLvlLbl val="0"/>
      </c:catAx>
      <c:valAx>
        <c:axId val="548625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8625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Table'!$B$353</c:f>
              <c:strCache>
                <c:ptCount val="1"/>
                <c:pt idx="0">
                  <c:v>Total</c:v>
                </c:pt>
              </c:strCache>
            </c:strRef>
          </c:tx>
          <c:spPr>
            <a:solidFill>
              <a:schemeClr val="accent1"/>
            </a:solidFill>
            <a:ln>
              <a:noFill/>
            </a:ln>
            <a:effectLst/>
          </c:spPr>
          <c:cat>
            <c:strRef>
              <c:f>'Pivot Table'!$A$354:$A$463</c:f>
              <c:strCache>
                <c:ptCount val="109"/>
                <c:pt idx="0">
                  <c:v>Creative Owl Shape Keychain Black</c:v>
                </c:pt>
                <c:pt idx="1">
                  <c:v>Simple Metal Dog Art Sculpture Decoration For Home Office</c:v>
                </c:pt>
                <c:pt idx="2">
                  <c:v>Angle Measuring Tool Full Metal Multi Angle Measuring Tool</c:v>
                </c:pt>
                <c:pt idx="3">
                  <c:v>6 In 1 Bottle Can Opener Multifunctional Easy Opener</c:v>
                </c:pt>
                <c:pt idx="4">
                  <c:v>LASA FOLDING TABLE SERVING STAND</c:v>
                </c:pt>
                <c:pt idx="5">
                  <c:v>5-PCS Stainless Steel Cooking Pot Set With Steamed Slices</c:v>
                </c:pt>
                <c:pt idx="6">
                  <c:v>LASA 3 Tier Bamboo Shoe Bench Storage Shelf</c:v>
                </c:pt>
                <c:pt idx="7">
                  <c:v>Mythco 120COB Solar Wall Ligt With Motion Sensor And Remote Control 3 Modes</c:v>
                </c:pt>
                <c:pt idx="8">
                  <c:v>3PCS Single Head Knitting Crochet Sweater Needle Set</c:v>
                </c:pt>
                <c:pt idx="9">
                  <c:v>Classic Black Cat Cotton Hemp Pillow Case For Home Car</c:v>
                </c:pt>
                <c:pt idx="10">
                  <c:v>Intelligent  LED Body Sensor Wireless Lighting Night Light USB</c:v>
                </c:pt>
                <c:pt idx="11">
                  <c:v>Exfoliate And Exfoliate Face Towel - Black</c:v>
                </c:pt>
                <c:pt idx="12">
                  <c:v>Anti-Skid Absorbent Insulation Coaster  For Home Office</c:v>
                </c:pt>
                <c:pt idx="13">
                  <c:v>Christmas Elk Fence Yard Lawn Decorations Cute For Holidays</c:v>
                </c:pt>
                <c:pt idx="14">
                  <c:v>380ML USB Rechargeable Portable Small Blenders And Juicers</c:v>
                </c:pt>
                <c:pt idx="15">
                  <c:v>Modern Sofa Throw Pillow Cover-45x45cm-Blue&amp;Red</c:v>
                </c:pt>
                <c:pt idx="16">
                  <c:v>Wall-mounted Sticker Punch-free Plug Fixer</c:v>
                </c:pt>
                <c:pt idx="17">
                  <c:v>2PCS Ice Silk Square Cushion Cover Pillowcases - 65x65cm</c:v>
                </c:pt>
                <c:pt idx="18">
                  <c:v>Brush &amp; Paintbrush Cleaning Tool Pink</c:v>
                </c:pt>
                <c:pt idx="19">
                  <c:v>Wall Clock With Hidden Safe Box</c:v>
                </c:pt>
                <c:pt idx="20">
                  <c:v>4 Piece Coloured Stainless Steel Kitchenware Set</c:v>
                </c:pt>
                <c:pt idx="21">
                  <c:v>LASA Aluminum Folding Truck Hand Cart - 68kg Max</c:v>
                </c:pt>
                <c:pt idx="22">
                  <c:v>Baby Early Education Shape And Color Cognitive Training Toys</c:v>
                </c:pt>
                <c:pt idx="23">
                  <c:v>3D Waterproof EVA Plastic Shower Curtain 1.8*2Mtrs</c:v>
                </c:pt>
                <c:pt idx="24">
                  <c:v>Cartoon Car Decoration Cute Individuality For Car Home Desk</c:v>
                </c:pt>
                <c:pt idx="25">
                  <c:v>Household Pineapple Peeler Peeler</c:v>
                </c:pt>
                <c:pt idx="26">
                  <c:v>4M Float Switch Water Level Controller -Water Tank</c:v>
                </c:pt>
                <c:pt idx="27">
                  <c:v>120W Cordless Vacuum Cleaners Handheld Electric Vacuum Cleaner</c:v>
                </c:pt>
                <c:pt idx="28">
                  <c:v>7PCS Silicone Thumb Knife Finger Protector Vegetable Harvesting Knife</c:v>
                </c:pt>
                <c:pt idx="29">
                  <c:v>Bedroom Simple Floor Hanging Clothes Rack Single Pole Hat Rack - White</c:v>
                </c:pt>
                <c:pt idx="30">
                  <c:v>Car Phone Charging Stand</c:v>
                </c:pt>
                <c:pt idx="31">
                  <c:v>Sewing Machine Needle Threader Stitch Insertion Tool Automatic Quick Sewing</c:v>
                </c:pt>
                <c:pt idx="32">
                  <c:v>Portable Wine Table With Folding Round Table</c:v>
                </c:pt>
                <c:pt idx="33">
                  <c:v>LED Eye Protection  Desk Lamp , Study, Reading, USB Fan - Double Pen Holder</c:v>
                </c:pt>
                <c:pt idx="34">
                  <c:v>Christmas Fence Garden Decorations Outdoor For Holiday Home</c:v>
                </c:pt>
                <c:pt idx="35">
                  <c:v>40cm Gold DIY Acrylic Wall Sticker Clock</c:v>
                </c:pt>
                <c:pt idx="36">
                  <c:v>6 Layers Steel Pipe Assembling Dustproof Storage Shoe Cabinet</c:v>
                </c:pt>
                <c:pt idx="37">
                  <c:v>Metal Decorative Hooks Key Hangers Entryway Wall Hooks Towel Hooks - Home</c:v>
                </c:pt>
                <c:pt idx="38">
                  <c:v>2PCS/LOT Solar LED Outdoor Intelligent Light Controlled Wall Lamp</c:v>
                </c:pt>
                <c:pt idx="39">
                  <c:v>7-piece Set Of Storage Bags, Travel Storage Bags, Shoe Bags</c:v>
                </c:pt>
                <c:pt idx="40">
                  <c:v>Black Simple Water Cup Wine Coaster Anti Slip Absorbent</c:v>
                </c:pt>
                <c:pt idx="41">
                  <c:v>Electric LED UV Mosquito Killer Lamp, Outdoor/Indoor Fly Killer Trap Light -USB</c:v>
                </c:pt>
                <c:pt idx="42">
                  <c:v>MultiFunctional Storage Rack Multi-layer Bookshelf</c:v>
                </c:pt>
                <c:pt idx="43">
                  <c:v>Peacock  Throw Pillow Cushion Case For Home Car</c:v>
                </c:pt>
                <c:pt idx="44">
                  <c:v>Memory Foam Neck Pillow Cover, With Pillow Core - 50*30cm</c:v>
                </c:pt>
                <c:pt idx="45">
                  <c:v>Agapeon Toothbrush Holder And Toothpaste Dispenser</c:v>
                </c:pt>
                <c:pt idx="46">
                  <c:v>Artificial Potted Flowers Room Decorative Flowers (2 Pieces)</c:v>
                </c:pt>
                <c:pt idx="47">
                  <c:v>13 In 1 Home Repair Tools Box Kit Set</c:v>
                </c:pt>
                <c:pt idx="48">
                  <c:v>Wrought Iron Bathroom Shelf Wall Mounted Free Punch Toilet Rack</c:v>
                </c:pt>
                <c:pt idx="49">
                  <c:v>3PCS Rotary Scraper Thermomix For Kitchen</c:v>
                </c:pt>
                <c:pt idx="50">
                  <c:v>Watercolour Gold Foil Textured Print Pillow Cover</c:v>
                </c:pt>
                <c:pt idx="51">
                  <c:v>Multifunctional Hanging Storage Box Storage Bag (4 Layers)</c:v>
                </c:pt>
                <c:pt idx="52">
                  <c:v>8in1 Screwdriver With LED Light</c:v>
                </c:pt>
                <c:pt idx="53">
                  <c:v>4pcs Bathroom/Kitchen Towel Rack,Roll Paper Holder,Towel Bars,Hook</c:v>
                </c:pt>
                <c:pt idx="54">
                  <c:v>Balloon Insert, Birthday Party Balloon Set, PU Leather</c:v>
                </c:pt>
                <c:pt idx="55">
                  <c:v>LASA Digital Thermometer And Hydrometer</c:v>
                </c:pt>
                <c:pt idx="56">
                  <c:v>9pcs Gas Mask, For Painting, Dust, Formaldehyde Grinding, Polishing</c:v>
                </c:pt>
                <c:pt idx="57">
                  <c:v>Punch-free Great Load Bearing Bathroom Storage Rack Wall Shelf-White</c:v>
                </c:pt>
                <c:pt idx="58">
                  <c:v>Cute Christmas Fence Garden Decorations For Holiday Home</c:v>
                </c:pt>
                <c:pt idx="59">
                  <c:v>DIY File Folder, Office Drawer File Holder, Pen Holder, Desktop Storage Rack</c:v>
                </c:pt>
                <c:pt idx="60">
                  <c:v>32PCS Portable Cordless Drill Set With Cyclic Battery Drive -26 Variable Speed</c:v>
                </c:pt>
                <c:pt idx="61">
                  <c:v>115  Piece Set Of Multifunctional Precision Screwdrivers</c:v>
                </c:pt>
                <c:pt idx="62">
                  <c:v>2pcs Solar Street Light Flood Light Outdoor</c:v>
                </c:pt>
                <c:pt idx="63">
                  <c:v>1/2/3 Seater Elastic Sofa Cover,Living Room/Home Decor Chair Cover-Grey</c:v>
                </c:pt>
                <c:pt idx="64">
                  <c:v>LASA Stainless Steel Double Wall Mount Soap Dispenser - 500ml</c:v>
                </c:pt>
                <c:pt idx="65">
                  <c:v>Weighing Scale Digital Bathroom Body Fat Scale USB-Black</c:v>
                </c:pt>
                <c:pt idx="66">
                  <c:v>Desk Foldable Fan Adjustable Fan Strong Wind 3 Gear Usb</c:v>
                </c:pt>
                <c:pt idx="67">
                  <c:v>5m Waterproof Spherical LED String Lights Outdoor Ball Chain Lights Party Lighting Decoration Adjustable</c:v>
                </c:pt>
                <c:pt idx="68">
                  <c:v>Electronic Digital Display Vernier Caliper</c:v>
                </c:pt>
                <c:pt idx="69">
                  <c:v>LED Romantic Spaceship Starry Sky Projector,Children's Bedroom Night Light-Blue</c:v>
                </c:pt>
                <c:pt idx="70">
                  <c:v>Cartoon Embroidered Mini Towel Bear Cotton Wash Cloth Hand 4pcs</c:v>
                </c:pt>
                <c:pt idx="71">
                  <c:v>12 Litre Insulated Lunch Box Grey</c:v>
                </c:pt>
                <c:pt idx="72">
                  <c:v>LED Solar Street Light-fake Camera</c:v>
                </c:pt>
                <c:pt idx="73">
                  <c:v>100 Pcs Crochet Hook Tool Set Knitting Hook Set With Box</c:v>
                </c:pt>
                <c:pt idx="74">
                  <c:v>Multifunction Laser Level With Adjustment Tripod</c:v>
                </c:pt>
                <c:pt idx="75">
                  <c:v>60W Hot Melt Glue Sprayer - Efficient And Stable Glue Dispensing</c:v>
                </c:pt>
                <c:pt idx="76">
                  <c:v>12 Litre Black Insulated Lunch Box</c:v>
                </c:pt>
                <c:pt idx="77">
                  <c:v>52 Pieces Cake Decorating Tool Set Gift Kit Baking Supplies</c:v>
                </c:pt>
                <c:pt idx="78">
                  <c:v>Large Lazy Inflatable Sofa Chairs PVC Lounger Seat Bag</c:v>
                </c:pt>
                <c:pt idx="79">
                  <c:v>53Pcs/Set Yarn Knitting Crochet Hooks With Bag - Fortune Cat</c:v>
                </c:pt>
                <c:pt idx="80">
                  <c:v>12V 19500rpm Handheld Electric Angle Grinder Tool - UK - Yellow/Black</c:v>
                </c:pt>
                <c:pt idx="81">
                  <c:v>53 Pieces/Set Yarn Knitting Crochet Hooks With Bag - Pansies</c:v>
                </c:pt>
                <c:pt idx="82">
                  <c:v>Portable Home Small Air Humidifier 3-Speed Fan - Green</c:v>
                </c:pt>
                <c:pt idx="83">
                  <c:v>Portable Mini Cordless Car Vacuum Cleaner - Blue</c:v>
                </c:pt>
                <c:pt idx="84">
                  <c:v>1PC Refrigerator Food Seal Pocket Fridge Bags</c:v>
                </c:pt>
                <c:pt idx="85">
                  <c:v>137 Pieces Cake Decorating Tool Set Baking Supplies</c:v>
                </c:pt>
                <c:pt idx="86">
                  <c:v>Foldable Overbed Table/Desk</c:v>
                </c:pt>
                <c:pt idx="87">
                  <c:v>VIC Wireless Vacuum Cleaner Dual Use For Home And Car 120W High Power Powerful</c:v>
                </c:pt>
                <c:pt idx="88">
                  <c:v>Pilates Cloth Bag Waterproof Durable High Capacity Purple</c:v>
                </c:pt>
                <c:pt idx="89">
                  <c:v>Konka Healty Electric Kettle, 24-hour Heat Preservation,1.5L,800W, White</c:v>
                </c:pt>
                <c:pt idx="90">
                  <c:v>Genebre 115 In 1 Screwdriver Repairing Tool Set For IPhone Cellphone Hand Tool</c:v>
                </c:pt>
                <c:pt idx="91">
                  <c:v>LED Wall Digital Alarm Clock Study Home 12 / 24H Clock Calendar</c:v>
                </c:pt>
                <c:pt idx="92">
                  <c:v>Portable Wardrobe Nonwoven With 3 Hanging Rods And 6 Storage Shelves</c:v>
                </c:pt>
                <c:pt idx="93">
                  <c:v>Office Chair Lumbar Back Support Spine Posture Correction Pillow Car Cushion</c:v>
                </c:pt>
                <c:pt idx="94">
                  <c:v>Wall-Mounted Toothbrush Toothpaste Holder With Multiple Slots</c:v>
                </c:pt>
                <c:pt idx="95">
                  <c:v>5 Pieces/set Of Stainless Steel Induction Cooker Pots</c:v>
                </c:pt>
                <c:pt idx="96">
                  <c:v>Outdoor Portable Water Bottle With Medicine Box - 600ML - Black</c:v>
                </c:pt>
                <c:pt idx="97">
                  <c:v>220V 60W Electric Soldering Iron Kits With Tools, Tips, And Multimeter</c:v>
                </c:pt>
                <c:pt idx="98">
                  <c:v>Wall Mount Automatic Toothpaste Dispenser Toothbrush Holder Toothpaste Squeezer</c:v>
                </c:pt>
                <c:pt idx="99">
                  <c:v>Metal Wall Clock Silver Dial Crystal Jewelry Round Home Decoration Wall Clock</c:v>
                </c:pt>
                <c:pt idx="100">
                  <c:v>Cushion Silicone Butt Cushion Summer Ice Cushion Honeycomb Gel Cushion</c:v>
                </c:pt>
                <c:pt idx="101">
                  <c:v>Multi-purpose Rice Drainage Basket And Fruit And Vegetable Drainage Sieve</c:v>
                </c:pt>
                <c:pt idx="102">
                  <c:v>Shower Nozzle Cleaning Unclogging Needle Mini Crevice Small Hole Cleaning Brush</c:v>
                </c:pt>
                <c:pt idx="103">
                  <c:v>Shower Cap Wide Elastic Band Cover Reusable Bashroom Cap</c:v>
                </c:pt>
                <c:pt idx="104">
                  <c:v>Portable Soap Dispenser Kitchen Detergent Press Box Kitchen Tools</c:v>
                </c:pt>
                <c:pt idx="105">
                  <c:v>Thickening Multipurpose Non Stick Easy To Clean Heat Resistant Spoon Pad</c:v>
                </c:pt>
                <c:pt idx="106">
                  <c:v>Pen Grips For Kids Pen Grip Posture Correction Tool For Kids</c:v>
                </c:pt>
                <c:pt idx="107">
                  <c:v>2 Pairs Cowhide Split Leather Work Gloves.32â„‰ Or Above Welding Gloves</c:v>
                </c:pt>
                <c:pt idx="108">
                  <c:v>24 Grid Wall-mounted Sundries Organiser Fabric Closet Bag Storage Rack</c:v>
                </c:pt>
              </c:strCache>
            </c:strRef>
          </c:cat>
          <c:val>
            <c:numRef>
              <c:f>'Pivot Table'!$B$354:$B$463</c:f>
              <c:numCache>
                <c:formatCode>General</c:formatCode>
                <c:ptCount val="109"/>
                <c:pt idx="0">
                  <c:v>1.1000000000000001</c:v>
                </c:pt>
                <c:pt idx="1">
                  <c:v>1</c:v>
                </c:pt>
                <c:pt idx="2">
                  <c:v>0.98</c:v>
                </c:pt>
                <c:pt idx="3">
                  <c:v>0.64</c:v>
                </c:pt>
                <c:pt idx="4">
                  <c:v>0.55000000000000004</c:v>
                </c:pt>
                <c:pt idx="5">
                  <c:v>0.55000000000000004</c:v>
                </c:pt>
                <c:pt idx="6">
                  <c:v>0.54</c:v>
                </c:pt>
                <c:pt idx="7">
                  <c:v>0.54</c:v>
                </c:pt>
                <c:pt idx="8">
                  <c:v>0.53</c:v>
                </c:pt>
                <c:pt idx="9">
                  <c:v>0.53</c:v>
                </c:pt>
                <c:pt idx="10">
                  <c:v>0.52</c:v>
                </c:pt>
                <c:pt idx="11">
                  <c:v>0.52</c:v>
                </c:pt>
                <c:pt idx="12">
                  <c:v>0.51</c:v>
                </c:pt>
                <c:pt idx="13">
                  <c:v>0.5</c:v>
                </c:pt>
                <c:pt idx="14">
                  <c:v>0.5</c:v>
                </c:pt>
                <c:pt idx="15">
                  <c:v>0.5</c:v>
                </c:pt>
                <c:pt idx="16">
                  <c:v>0.5</c:v>
                </c:pt>
                <c:pt idx="17">
                  <c:v>0.5</c:v>
                </c:pt>
                <c:pt idx="18">
                  <c:v>0.5</c:v>
                </c:pt>
                <c:pt idx="19">
                  <c:v>0.5</c:v>
                </c:pt>
                <c:pt idx="20">
                  <c:v>0.49</c:v>
                </c:pt>
                <c:pt idx="21">
                  <c:v>0.49</c:v>
                </c:pt>
                <c:pt idx="22">
                  <c:v>0.49</c:v>
                </c:pt>
                <c:pt idx="23">
                  <c:v>0.49</c:v>
                </c:pt>
                <c:pt idx="24">
                  <c:v>0.49</c:v>
                </c:pt>
                <c:pt idx="25">
                  <c:v>0.49</c:v>
                </c:pt>
                <c:pt idx="26">
                  <c:v>0.49</c:v>
                </c:pt>
                <c:pt idx="27">
                  <c:v>0.49</c:v>
                </c:pt>
                <c:pt idx="28">
                  <c:v>0.49</c:v>
                </c:pt>
                <c:pt idx="29">
                  <c:v>0.49</c:v>
                </c:pt>
                <c:pt idx="30">
                  <c:v>0.49</c:v>
                </c:pt>
                <c:pt idx="31">
                  <c:v>0.48</c:v>
                </c:pt>
                <c:pt idx="32">
                  <c:v>0.48</c:v>
                </c:pt>
                <c:pt idx="33">
                  <c:v>0.48</c:v>
                </c:pt>
                <c:pt idx="34">
                  <c:v>0.48</c:v>
                </c:pt>
                <c:pt idx="35">
                  <c:v>0.47</c:v>
                </c:pt>
                <c:pt idx="36">
                  <c:v>0.47</c:v>
                </c:pt>
                <c:pt idx="37">
                  <c:v>0.47</c:v>
                </c:pt>
                <c:pt idx="38">
                  <c:v>0.47</c:v>
                </c:pt>
                <c:pt idx="39">
                  <c:v>0.47</c:v>
                </c:pt>
                <c:pt idx="40">
                  <c:v>0.47</c:v>
                </c:pt>
                <c:pt idx="41">
                  <c:v>0.47</c:v>
                </c:pt>
                <c:pt idx="42">
                  <c:v>0.46</c:v>
                </c:pt>
                <c:pt idx="43">
                  <c:v>0.46</c:v>
                </c:pt>
                <c:pt idx="44">
                  <c:v>0.46</c:v>
                </c:pt>
                <c:pt idx="45">
                  <c:v>0.45</c:v>
                </c:pt>
                <c:pt idx="46">
                  <c:v>0.45</c:v>
                </c:pt>
                <c:pt idx="47">
                  <c:v>0.45</c:v>
                </c:pt>
                <c:pt idx="48">
                  <c:v>0.43</c:v>
                </c:pt>
                <c:pt idx="49">
                  <c:v>0.43</c:v>
                </c:pt>
                <c:pt idx="50">
                  <c:v>0.43</c:v>
                </c:pt>
                <c:pt idx="51">
                  <c:v>0.43</c:v>
                </c:pt>
                <c:pt idx="52">
                  <c:v>0.42</c:v>
                </c:pt>
                <c:pt idx="53">
                  <c:v>0.42</c:v>
                </c:pt>
                <c:pt idx="54">
                  <c:v>0.42</c:v>
                </c:pt>
                <c:pt idx="55">
                  <c:v>0.42</c:v>
                </c:pt>
                <c:pt idx="56">
                  <c:v>0.41</c:v>
                </c:pt>
                <c:pt idx="57">
                  <c:v>0.41</c:v>
                </c:pt>
                <c:pt idx="58">
                  <c:v>0.41</c:v>
                </c:pt>
                <c:pt idx="59">
                  <c:v>0.4</c:v>
                </c:pt>
                <c:pt idx="60">
                  <c:v>0.39</c:v>
                </c:pt>
                <c:pt idx="61">
                  <c:v>0.38</c:v>
                </c:pt>
                <c:pt idx="62">
                  <c:v>0.38</c:v>
                </c:pt>
                <c:pt idx="63">
                  <c:v>0.38</c:v>
                </c:pt>
                <c:pt idx="64">
                  <c:v>0.38</c:v>
                </c:pt>
                <c:pt idx="65">
                  <c:v>0.37</c:v>
                </c:pt>
                <c:pt idx="66">
                  <c:v>0.37</c:v>
                </c:pt>
                <c:pt idx="67">
                  <c:v>0.36</c:v>
                </c:pt>
                <c:pt idx="68">
                  <c:v>0.35</c:v>
                </c:pt>
                <c:pt idx="69">
                  <c:v>0.35</c:v>
                </c:pt>
                <c:pt idx="70">
                  <c:v>0.34</c:v>
                </c:pt>
                <c:pt idx="71">
                  <c:v>0.34</c:v>
                </c:pt>
                <c:pt idx="72">
                  <c:v>0.34</c:v>
                </c:pt>
                <c:pt idx="73">
                  <c:v>0.34</c:v>
                </c:pt>
                <c:pt idx="74">
                  <c:v>0.33</c:v>
                </c:pt>
                <c:pt idx="75">
                  <c:v>0.33</c:v>
                </c:pt>
                <c:pt idx="76">
                  <c:v>0.32</c:v>
                </c:pt>
                <c:pt idx="77">
                  <c:v>0.3</c:v>
                </c:pt>
                <c:pt idx="78">
                  <c:v>0.28999999999999998</c:v>
                </c:pt>
                <c:pt idx="79">
                  <c:v>0.27</c:v>
                </c:pt>
                <c:pt idx="80">
                  <c:v>0.27</c:v>
                </c:pt>
                <c:pt idx="81">
                  <c:v>0.27</c:v>
                </c:pt>
                <c:pt idx="82">
                  <c:v>0.26</c:v>
                </c:pt>
                <c:pt idx="83">
                  <c:v>0.25</c:v>
                </c:pt>
                <c:pt idx="84">
                  <c:v>0.24</c:v>
                </c:pt>
                <c:pt idx="85">
                  <c:v>0.24</c:v>
                </c:pt>
                <c:pt idx="86">
                  <c:v>0.23</c:v>
                </c:pt>
                <c:pt idx="87">
                  <c:v>0.22</c:v>
                </c:pt>
                <c:pt idx="88">
                  <c:v>0.22</c:v>
                </c:pt>
                <c:pt idx="89">
                  <c:v>0.21</c:v>
                </c:pt>
                <c:pt idx="90">
                  <c:v>0.2</c:v>
                </c:pt>
                <c:pt idx="91">
                  <c:v>0.19</c:v>
                </c:pt>
                <c:pt idx="92">
                  <c:v>0.18</c:v>
                </c:pt>
                <c:pt idx="93">
                  <c:v>0.14000000000000001</c:v>
                </c:pt>
                <c:pt idx="94">
                  <c:v>0.14000000000000001</c:v>
                </c:pt>
                <c:pt idx="95">
                  <c:v>0.13</c:v>
                </c:pt>
                <c:pt idx="96">
                  <c:v>0.11</c:v>
                </c:pt>
                <c:pt idx="97">
                  <c:v>0.09</c:v>
                </c:pt>
                <c:pt idx="98">
                  <c:v>0.08</c:v>
                </c:pt>
                <c:pt idx="99">
                  <c:v>0.04</c:v>
                </c:pt>
                <c:pt idx="100">
                  <c:v>0.04</c:v>
                </c:pt>
                <c:pt idx="101">
                  <c:v>0.03</c:v>
                </c:pt>
                <c:pt idx="102">
                  <c:v>0.02</c:v>
                </c:pt>
                <c:pt idx="103">
                  <c:v>0.02</c:v>
                </c:pt>
                <c:pt idx="104">
                  <c:v>0.02</c:v>
                </c:pt>
                <c:pt idx="105">
                  <c:v>0.02</c:v>
                </c:pt>
                <c:pt idx="106">
                  <c:v>0.02</c:v>
                </c:pt>
                <c:pt idx="107">
                  <c:v>0.02</c:v>
                </c:pt>
                <c:pt idx="108">
                  <c:v>0.01</c:v>
                </c:pt>
              </c:numCache>
            </c:numRef>
          </c:val>
          <c:extLst>
            <c:ext xmlns:c16="http://schemas.microsoft.com/office/drawing/2014/chart" uri="{C3380CC4-5D6E-409C-BE32-E72D297353CC}">
              <c16:uniqueId val="{00000000-B4BD-4C66-A35A-9117AC2C00EA}"/>
            </c:ext>
          </c:extLst>
        </c:ser>
        <c:dLbls>
          <c:showLegendKey val="0"/>
          <c:showVal val="0"/>
          <c:showCatName val="0"/>
          <c:showSerName val="0"/>
          <c:showPercent val="0"/>
          <c:showBubbleSize val="0"/>
        </c:dLbls>
        <c:axId val="548624440"/>
        <c:axId val="548622472"/>
      </c:areaChart>
      <c:catAx>
        <c:axId val="548624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8622472"/>
        <c:crosses val="autoZero"/>
        <c:auto val="1"/>
        <c:lblAlgn val="ctr"/>
        <c:lblOffset val="100"/>
        <c:noMultiLvlLbl val="0"/>
      </c:catAx>
      <c:valAx>
        <c:axId val="548622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8624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Table'!$B$467</c:f>
              <c:strCache>
                <c:ptCount val="1"/>
                <c:pt idx="0">
                  <c:v>Count of Product</c:v>
                </c:pt>
              </c:strCache>
            </c:strRef>
          </c:tx>
          <c:spPr>
            <a:solidFill>
              <a:schemeClr val="accent1"/>
            </a:solidFill>
            <a:ln>
              <a:noFill/>
            </a:ln>
            <a:effectLst/>
          </c:spPr>
          <c:invertIfNegative val="0"/>
          <c:cat>
            <c:strRef>
              <c:f>'Pivot Table'!$A$468:$A$471</c:f>
              <c:strCache>
                <c:ptCount val="3"/>
                <c:pt idx="0">
                  <c:v>High Discount</c:v>
                </c:pt>
                <c:pt idx="1">
                  <c:v>Low Discount</c:v>
                </c:pt>
                <c:pt idx="2">
                  <c:v>Medium Discount</c:v>
                </c:pt>
              </c:strCache>
            </c:strRef>
          </c:cat>
          <c:val>
            <c:numRef>
              <c:f>'Pivot Table'!$B$468:$B$471</c:f>
              <c:numCache>
                <c:formatCode>General</c:formatCode>
                <c:ptCount val="3"/>
                <c:pt idx="0">
                  <c:v>62</c:v>
                </c:pt>
                <c:pt idx="1">
                  <c:v>49</c:v>
                </c:pt>
                <c:pt idx="2">
                  <c:v>1</c:v>
                </c:pt>
              </c:numCache>
            </c:numRef>
          </c:val>
          <c:extLst>
            <c:ext xmlns:c16="http://schemas.microsoft.com/office/drawing/2014/chart" uri="{C3380CC4-5D6E-409C-BE32-E72D297353CC}">
              <c16:uniqueId val="{00000000-B9FA-4591-BDF7-3E8C90D41319}"/>
            </c:ext>
          </c:extLst>
        </c:ser>
        <c:ser>
          <c:idx val="1"/>
          <c:order val="1"/>
          <c:tx>
            <c:strRef>
              <c:f>'Pivot Table'!$C$467</c:f>
              <c:strCache>
                <c:ptCount val="1"/>
                <c:pt idx="0">
                  <c:v>Sum of Rating</c:v>
                </c:pt>
              </c:strCache>
            </c:strRef>
          </c:tx>
          <c:spPr>
            <a:solidFill>
              <a:schemeClr val="accent2"/>
            </a:solidFill>
            <a:ln>
              <a:noFill/>
            </a:ln>
            <a:effectLst/>
          </c:spPr>
          <c:invertIfNegative val="0"/>
          <c:cat>
            <c:strRef>
              <c:f>'Pivot Table'!$A$468:$A$471</c:f>
              <c:strCache>
                <c:ptCount val="3"/>
                <c:pt idx="0">
                  <c:v>High Discount</c:v>
                </c:pt>
                <c:pt idx="1">
                  <c:v>Low Discount</c:v>
                </c:pt>
                <c:pt idx="2">
                  <c:v>Medium Discount</c:v>
                </c:pt>
              </c:strCache>
            </c:strRef>
          </c:cat>
          <c:val>
            <c:numRef>
              <c:f>'Pivot Table'!$C$468:$C$471</c:f>
              <c:numCache>
                <c:formatCode>General</c:formatCode>
                <c:ptCount val="3"/>
                <c:pt idx="0">
                  <c:v>108.39999999999998</c:v>
                </c:pt>
                <c:pt idx="1">
                  <c:v>108.30000000000001</c:v>
                </c:pt>
                <c:pt idx="2">
                  <c:v>5</c:v>
                </c:pt>
              </c:numCache>
            </c:numRef>
          </c:val>
          <c:extLst>
            <c:ext xmlns:c16="http://schemas.microsoft.com/office/drawing/2014/chart" uri="{C3380CC4-5D6E-409C-BE32-E72D297353CC}">
              <c16:uniqueId val="{00000001-B9FA-4591-BDF7-3E8C90D41319}"/>
            </c:ext>
          </c:extLst>
        </c:ser>
        <c:ser>
          <c:idx val="2"/>
          <c:order val="2"/>
          <c:tx>
            <c:strRef>
              <c:f>'Pivot Table'!$D$467</c:f>
              <c:strCache>
                <c:ptCount val="1"/>
                <c:pt idx="0">
                  <c:v>Count of Products rating</c:v>
                </c:pt>
              </c:strCache>
            </c:strRef>
          </c:tx>
          <c:spPr>
            <a:solidFill>
              <a:schemeClr val="accent3"/>
            </a:solidFill>
            <a:ln>
              <a:noFill/>
            </a:ln>
            <a:effectLst/>
          </c:spPr>
          <c:invertIfNegative val="0"/>
          <c:cat>
            <c:strRef>
              <c:f>'Pivot Table'!$A$468:$A$471</c:f>
              <c:strCache>
                <c:ptCount val="3"/>
                <c:pt idx="0">
                  <c:v>High Discount</c:v>
                </c:pt>
                <c:pt idx="1">
                  <c:v>Low Discount</c:v>
                </c:pt>
                <c:pt idx="2">
                  <c:v>Medium Discount</c:v>
                </c:pt>
              </c:strCache>
            </c:strRef>
          </c:cat>
          <c:val>
            <c:numRef>
              <c:f>'Pivot Table'!$D$468:$D$471</c:f>
              <c:numCache>
                <c:formatCode>General</c:formatCode>
                <c:ptCount val="3"/>
                <c:pt idx="0">
                  <c:v>62</c:v>
                </c:pt>
                <c:pt idx="1">
                  <c:v>49</c:v>
                </c:pt>
                <c:pt idx="2">
                  <c:v>1</c:v>
                </c:pt>
              </c:numCache>
            </c:numRef>
          </c:val>
          <c:extLst>
            <c:ext xmlns:c16="http://schemas.microsoft.com/office/drawing/2014/chart" uri="{C3380CC4-5D6E-409C-BE32-E72D297353CC}">
              <c16:uniqueId val="{00000002-B9FA-4591-BDF7-3E8C90D41319}"/>
            </c:ext>
          </c:extLst>
        </c:ser>
        <c:dLbls>
          <c:showLegendKey val="0"/>
          <c:showVal val="0"/>
          <c:showCatName val="0"/>
          <c:showSerName val="0"/>
          <c:showPercent val="0"/>
          <c:showBubbleSize val="0"/>
        </c:dLbls>
        <c:gapWidth val="219"/>
        <c:overlap val="-27"/>
        <c:axId val="585161544"/>
        <c:axId val="585159576"/>
      </c:barChart>
      <c:catAx>
        <c:axId val="58516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5159576"/>
        <c:crosses val="autoZero"/>
        <c:auto val="1"/>
        <c:lblAlgn val="ctr"/>
        <c:lblOffset val="100"/>
        <c:noMultiLvlLbl val="0"/>
      </c:catAx>
      <c:valAx>
        <c:axId val="585159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5161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 1.2!PivotTable10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1.2'!$B$3</c:f>
              <c:strCache>
                <c:ptCount val="1"/>
                <c:pt idx="0">
                  <c:v>Sum of Rating</c:v>
                </c:pt>
              </c:strCache>
            </c:strRef>
          </c:tx>
          <c:spPr>
            <a:solidFill>
              <a:schemeClr val="accent1"/>
            </a:solidFill>
            <a:ln>
              <a:noFill/>
            </a:ln>
            <a:effectLst/>
          </c:spPr>
          <c:invertIfNegative val="0"/>
          <c:cat>
            <c:strRef>
              <c:f>'Pivot Table 1.2'!$A$4:$A$113</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 1.2'!$B$4:$B$113</c:f>
              <c:numCache>
                <c:formatCode>General</c:formatCode>
                <c:ptCount val="109"/>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4.4000000000000004</c:v>
                </c:pt>
                <c:pt idx="24">
                  <c:v>4.3</c:v>
                </c:pt>
                <c:pt idx="25">
                  <c:v>4.3</c:v>
                </c:pt>
                <c:pt idx="26">
                  <c:v>4.3</c:v>
                </c:pt>
                <c:pt idx="27">
                  <c:v>4.3</c:v>
                </c:pt>
                <c:pt idx="28">
                  <c:v>4.2</c:v>
                </c:pt>
                <c:pt idx="29">
                  <c:v>4.0999999999999996</c:v>
                </c:pt>
                <c:pt idx="30">
                  <c:v>4.0999999999999996</c:v>
                </c:pt>
                <c:pt idx="31">
                  <c:v>4.0999999999999996</c:v>
                </c:pt>
                <c:pt idx="32">
                  <c:v>4</c:v>
                </c:pt>
                <c:pt idx="33">
                  <c:v>4</c:v>
                </c:pt>
                <c:pt idx="34">
                  <c:v>4</c:v>
                </c:pt>
                <c:pt idx="35">
                  <c:v>4</c:v>
                </c:pt>
                <c:pt idx="36">
                  <c:v>3.8</c:v>
                </c:pt>
                <c:pt idx="37">
                  <c:v>3.8</c:v>
                </c:pt>
                <c:pt idx="38">
                  <c:v>3.8</c:v>
                </c:pt>
                <c:pt idx="39">
                  <c:v>3.3</c:v>
                </c:pt>
                <c:pt idx="40">
                  <c:v>3</c:v>
                </c:pt>
                <c:pt idx="41">
                  <c:v>3</c:v>
                </c:pt>
                <c:pt idx="42">
                  <c:v>3</c:v>
                </c:pt>
                <c:pt idx="43">
                  <c:v>3</c:v>
                </c:pt>
                <c:pt idx="44">
                  <c:v>3</c:v>
                </c:pt>
                <c:pt idx="45">
                  <c:v>2.9</c:v>
                </c:pt>
                <c:pt idx="46">
                  <c:v>2.8</c:v>
                </c:pt>
                <c:pt idx="47">
                  <c:v>2.7</c:v>
                </c:pt>
                <c:pt idx="48">
                  <c:v>2.6</c:v>
                </c:pt>
                <c:pt idx="49">
                  <c:v>2.5</c:v>
                </c:pt>
                <c:pt idx="50">
                  <c:v>2.2999999999999998</c:v>
                </c:pt>
                <c:pt idx="51">
                  <c:v>2.2999999999999998</c:v>
                </c:pt>
                <c:pt idx="52">
                  <c:v>2.2000000000000002</c:v>
                </c:pt>
                <c:pt idx="53">
                  <c:v>2.2000000000000002</c:v>
                </c:pt>
                <c:pt idx="54">
                  <c:v>2.1</c:v>
                </c:pt>
                <c:pt idx="55">
                  <c:v>2.1</c:v>
                </c:pt>
                <c:pt idx="56">
                  <c:v>2</c:v>
                </c:pt>
              </c:numCache>
            </c:numRef>
          </c:val>
          <c:extLst>
            <c:ext xmlns:c16="http://schemas.microsoft.com/office/drawing/2014/chart" uri="{C3380CC4-5D6E-409C-BE32-E72D297353CC}">
              <c16:uniqueId val="{00000000-08F7-4B46-832D-A6CEF859FA30}"/>
            </c:ext>
          </c:extLst>
        </c:ser>
        <c:ser>
          <c:idx val="1"/>
          <c:order val="1"/>
          <c:tx>
            <c:strRef>
              <c:f>'Pivot Table 1.2'!$C$3</c:f>
              <c:strCache>
                <c:ptCount val="1"/>
                <c:pt idx="0">
                  <c:v>Sum of Current price</c:v>
                </c:pt>
              </c:strCache>
            </c:strRef>
          </c:tx>
          <c:spPr>
            <a:solidFill>
              <a:schemeClr val="accent2"/>
            </a:solidFill>
            <a:ln>
              <a:noFill/>
            </a:ln>
            <a:effectLst/>
          </c:spPr>
          <c:invertIfNegative val="0"/>
          <c:cat>
            <c:strRef>
              <c:f>'Pivot Table 1.2'!$A$4:$A$113</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 1.2'!$C$4:$C$113</c:f>
              <c:numCache>
                <c:formatCode>General</c:formatCode>
                <c:ptCount val="109"/>
                <c:pt idx="0">
                  <c:v>171</c:v>
                </c:pt>
                <c:pt idx="1">
                  <c:v>2025</c:v>
                </c:pt>
                <c:pt idx="2">
                  <c:v>3640</c:v>
                </c:pt>
                <c:pt idx="3">
                  <c:v>332</c:v>
                </c:pt>
                <c:pt idx="4">
                  <c:v>195</c:v>
                </c:pt>
                <c:pt idx="5">
                  <c:v>979</c:v>
                </c:pt>
                <c:pt idx="6">
                  <c:v>1620</c:v>
                </c:pt>
                <c:pt idx="7">
                  <c:v>552</c:v>
                </c:pt>
                <c:pt idx="8">
                  <c:v>1740</c:v>
                </c:pt>
                <c:pt idx="9">
                  <c:v>1274</c:v>
                </c:pt>
                <c:pt idx="10">
                  <c:v>980</c:v>
                </c:pt>
                <c:pt idx="11">
                  <c:v>990</c:v>
                </c:pt>
                <c:pt idx="12">
                  <c:v>1940</c:v>
                </c:pt>
                <c:pt idx="13">
                  <c:v>1580</c:v>
                </c:pt>
                <c:pt idx="14">
                  <c:v>2319</c:v>
                </c:pt>
                <c:pt idx="15">
                  <c:v>2999</c:v>
                </c:pt>
                <c:pt idx="16">
                  <c:v>998</c:v>
                </c:pt>
                <c:pt idx="17">
                  <c:v>2199</c:v>
                </c:pt>
                <c:pt idx="18">
                  <c:v>420</c:v>
                </c:pt>
                <c:pt idx="19">
                  <c:v>1980</c:v>
                </c:pt>
                <c:pt idx="20">
                  <c:v>501</c:v>
                </c:pt>
                <c:pt idx="21">
                  <c:v>180</c:v>
                </c:pt>
                <c:pt idx="22">
                  <c:v>950</c:v>
                </c:pt>
                <c:pt idx="23">
                  <c:v>1650</c:v>
                </c:pt>
                <c:pt idx="24">
                  <c:v>1820</c:v>
                </c:pt>
                <c:pt idx="25">
                  <c:v>389</c:v>
                </c:pt>
                <c:pt idx="26">
                  <c:v>2048</c:v>
                </c:pt>
                <c:pt idx="27">
                  <c:v>185</c:v>
                </c:pt>
                <c:pt idx="28">
                  <c:v>1680</c:v>
                </c:pt>
                <c:pt idx="29">
                  <c:v>527</c:v>
                </c:pt>
                <c:pt idx="30">
                  <c:v>1758</c:v>
                </c:pt>
                <c:pt idx="31">
                  <c:v>799</c:v>
                </c:pt>
                <c:pt idx="32">
                  <c:v>988</c:v>
                </c:pt>
                <c:pt idx="33">
                  <c:v>330</c:v>
                </c:pt>
                <c:pt idx="34">
                  <c:v>2999</c:v>
                </c:pt>
                <c:pt idx="35">
                  <c:v>880</c:v>
                </c:pt>
                <c:pt idx="36">
                  <c:v>1600</c:v>
                </c:pt>
                <c:pt idx="37">
                  <c:v>2880</c:v>
                </c:pt>
                <c:pt idx="38">
                  <c:v>1350</c:v>
                </c:pt>
                <c:pt idx="39">
                  <c:v>38</c:v>
                </c:pt>
                <c:pt idx="40">
                  <c:v>458</c:v>
                </c:pt>
                <c:pt idx="41">
                  <c:v>2300</c:v>
                </c:pt>
                <c:pt idx="42">
                  <c:v>3750</c:v>
                </c:pt>
                <c:pt idx="43">
                  <c:v>1189</c:v>
                </c:pt>
                <c:pt idx="44">
                  <c:v>509</c:v>
                </c:pt>
                <c:pt idx="45">
                  <c:v>1220</c:v>
                </c:pt>
                <c:pt idx="46">
                  <c:v>445</c:v>
                </c:pt>
                <c:pt idx="47">
                  <c:v>325</c:v>
                </c:pt>
                <c:pt idx="48">
                  <c:v>382</c:v>
                </c:pt>
                <c:pt idx="49">
                  <c:v>2170</c:v>
                </c:pt>
                <c:pt idx="50">
                  <c:v>345</c:v>
                </c:pt>
                <c:pt idx="51">
                  <c:v>1000</c:v>
                </c:pt>
                <c:pt idx="52">
                  <c:v>990</c:v>
                </c:pt>
                <c:pt idx="53">
                  <c:v>968</c:v>
                </c:pt>
                <c:pt idx="54">
                  <c:v>1570</c:v>
                </c:pt>
                <c:pt idx="55">
                  <c:v>2115</c:v>
                </c:pt>
                <c:pt idx="56">
                  <c:v>450</c:v>
                </c:pt>
                <c:pt idx="57">
                  <c:v>1660</c:v>
                </c:pt>
                <c:pt idx="58">
                  <c:v>690</c:v>
                </c:pt>
                <c:pt idx="59">
                  <c:v>105</c:v>
                </c:pt>
                <c:pt idx="60">
                  <c:v>799</c:v>
                </c:pt>
                <c:pt idx="61">
                  <c:v>1456</c:v>
                </c:pt>
                <c:pt idx="62">
                  <c:v>671</c:v>
                </c:pt>
                <c:pt idx="63">
                  <c:v>1462</c:v>
                </c:pt>
                <c:pt idx="64">
                  <c:v>475</c:v>
                </c:pt>
                <c:pt idx="65">
                  <c:v>1768</c:v>
                </c:pt>
                <c:pt idx="66">
                  <c:v>1860</c:v>
                </c:pt>
                <c:pt idx="67">
                  <c:v>2200</c:v>
                </c:pt>
                <c:pt idx="68">
                  <c:v>274</c:v>
                </c:pt>
                <c:pt idx="69">
                  <c:v>799</c:v>
                </c:pt>
                <c:pt idx="70">
                  <c:v>1875</c:v>
                </c:pt>
                <c:pt idx="71">
                  <c:v>699</c:v>
                </c:pt>
                <c:pt idx="72">
                  <c:v>1190</c:v>
                </c:pt>
                <c:pt idx="73">
                  <c:v>1300</c:v>
                </c:pt>
                <c:pt idx="74">
                  <c:v>1200</c:v>
                </c:pt>
                <c:pt idx="75">
                  <c:v>1658</c:v>
                </c:pt>
                <c:pt idx="76">
                  <c:v>1200</c:v>
                </c:pt>
                <c:pt idx="77">
                  <c:v>850</c:v>
                </c:pt>
                <c:pt idx="78">
                  <c:v>1460</c:v>
                </c:pt>
                <c:pt idx="79">
                  <c:v>630</c:v>
                </c:pt>
                <c:pt idx="80">
                  <c:v>1666</c:v>
                </c:pt>
                <c:pt idx="81">
                  <c:v>1459</c:v>
                </c:pt>
                <c:pt idx="82">
                  <c:v>199</c:v>
                </c:pt>
                <c:pt idx="83">
                  <c:v>1466</c:v>
                </c:pt>
                <c:pt idx="84">
                  <c:v>899</c:v>
                </c:pt>
                <c:pt idx="85">
                  <c:v>790</c:v>
                </c:pt>
                <c:pt idx="86">
                  <c:v>2750</c:v>
                </c:pt>
                <c:pt idx="87">
                  <c:v>299</c:v>
                </c:pt>
                <c:pt idx="88">
                  <c:v>1190</c:v>
                </c:pt>
                <c:pt idx="89">
                  <c:v>525</c:v>
                </c:pt>
                <c:pt idx="90">
                  <c:v>230</c:v>
                </c:pt>
                <c:pt idx="91">
                  <c:v>610</c:v>
                </c:pt>
                <c:pt idx="92">
                  <c:v>1150</c:v>
                </c:pt>
                <c:pt idx="93">
                  <c:v>2799</c:v>
                </c:pt>
                <c:pt idx="94">
                  <c:v>169</c:v>
                </c:pt>
                <c:pt idx="95">
                  <c:v>2132</c:v>
                </c:pt>
                <c:pt idx="96">
                  <c:v>1080</c:v>
                </c:pt>
                <c:pt idx="97">
                  <c:v>898</c:v>
                </c:pt>
                <c:pt idx="98">
                  <c:v>1420</c:v>
                </c:pt>
                <c:pt idx="99">
                  <c:v>299</c:v>
                </c:pt>
                <c:pt idx="100">
                  <c:v>1526</c:v>
                </c:pt>
                <c:pt idx="101">
                  <c:v>248</c:v>
                </c:pt>
                <c:pt idx="102">
                  <c:v>1468</c:v>
                </c:pt>
                <c:pt idx="103">
                  <c:v>3546</c:v>
                </c:pt>
                <c:pt idx="104">
                  <c:v>198</c:v>
                </c:pt>
                <c:pt idx="105">
                  <c:v>238</c:v>
                </c:pt>
                <c:pt idx="106">
                  <c:v>999</c:v>
                </c:pt>
                <c:pt idx="107">
                  <c:v>375</c:v>
                </c:pt>
                <c:pt idx="108">
                  <c:v>1732</c:v>
                </c:pt>
              </c:numCache>
            </c:numRef>
          </c:val>
          <c:extLst>
            <c:ext xmlns:c16="http://schemas.microsoft.com/office/drawing/2014/chart" uri="{C3380CC4-5D6E-409C-BE32-E72D297353CC}">
              <c16:uniqueId val="{00000001-08F7-4B46-832D-A6CEF859FA30}"/>
            </c:ext>
          </c:extLst>
        </c:ser>
        <c:dLbls>
          <c:showLegendKey val="0"/>
          <c:showVal val="0"/>
          <c:showCatName val="0"/>
          <c:showSerName val="0"/>
          <c:showPercent val="0"/>
          <c:showBubbleSize val="0"/>
        </c:dLbls>
        <c:gapWidth val="219"/>
        <c:axId val="515979672"/>
        <c:axId val="515981640"/>
      </c:barChart>
      <c:catAx>
        <c:axId val="5159796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15981640"/>
        <c:crosses val="autoZero"/>
        <c:auto val="1"/>
        <c:lblAlgn val="ctr"/>
        <c:lblOffset val="100"/>
        <c:noMultiLvlLbl val="0"/>
      </c:catAx>
      <c:valAx>
        <c:axId val="51598164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15979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 1.2!PivotTable10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latin typeface="Book Antiqua" panose="02040602050305030304" pitchFamily="18" charset="0"/>
              </a:rPr>
              <a:t>Do higher rated products have higher prices or are they more affordable?</a:t>
            </a:r>
            <a:r>
              <a:rPr lang="en-US" sz="1400" b="0" i="0" u="none" strike="noStrike" baseline="0">
                <a:latin typeface="Book Antiqua" panose="02040602050305030304" pitchFamily="18" charset="0"/>
              </a:rPr>
              <a:t> </a:t>
            </a:r>
            <a:endParaRPr lang="en-US">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1.2'!$B$3</c:f>
              <c:strCache>
                <c:ptCount val="1"/>
                <c:pt idx="0">
                  <c:v>Sum of Rating</c:v>
                </c:pt>
              </c:strCache>
            </c:strRef>
          </c:tx>
          <c:spPr>
            <a:solidFill>
              <a:schemeClr val="accent1"/>
            </a:solidFill>
            <a:ln>
              <a:noFill/>
            </a:ln>
            <a:effectLst/>
          </c:spPr>
          <c:invertIfNegative val="0"/>
          <c:cat>
            <c:strRef>
              <c:f>'Pivot Table 1.2'!$A$4:$A$113</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 1.2'!$B$4:$B$113</c:f>
              <c:numCache>
                <c:formatCode>General</c:formatCode>
                <c:ptCount val="109"/>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4.4000000000000004</c:v>
                </c:pt>
                <c:pt idx="24">
                  <c:v>4.3</c:v>
                </c:pt>
                <c:pt idx="25">
                  <c:v>4.3</c:v>
                </c:pt>
                <c:pt idx="26">
                  <c:v>4.3</c:v>
                </c:pt>
                <c:pt idx="27">
                  <c:v>4.3</c:v>
                </c:pt>
                <c:pt idx="28">
                  <c:v>4.2</c:v>
                </c:pt>
                <c:pt idx="29">
                  <c:v>4.0999999999999996</c:v>
                </c:pt>
                <c:pt idx="30">
                  <c:v>4.0999999999999996</c:v>
                </c:pt>
                <c:pt idx="31">
                  <c:v>4.0999999999999996</c:v>
                </c:pt>
                <c:pt idx="32">
                  <c:v>4</c:v>
                </c:pt>
                <c:pt idx="33">
                  <c:v>4</c:v>
                </c:pt>
                <c:pt idx="34">
                  <c:v>4</c:v>
                </c:pt>
                <c:pt idx="35">
                  <c:v>4</c:v>
                </c:pt>
                <c:pt idx="36">
                  <c:v>3.8</c:v>
                </c:pt>
                <c:pt idx="37">
                  <c:v>3.8</c:v>
                </c:pt>
                <c:pt idx="38">
                  <c:v>3.8</c:v>
                </c:pt>
                <c:pt idx="39">
                  <c:v>3.3</c:v>
                </c:pt>
                <c:pt idx="40">
                  <c:v>3</c:v>
                </c:pt>
                <c:pt idx="41">
                  <c:v>3</c:v>
                </c:pt>
                <c:pt idx="42">
                  <c:v>3</c:v>
                </c:pt>
                <c:pt idx="43">
                  <c:v>3</c:v>
                </c:pt>
                <c:pt idx="44">
                  <c:v>3</c:v>
                </c:pt>
                <c:pt idx="45">
                  <c:v>2.9</c:v>
                </c:pt>
                <c:pt idx="46">
                  <c:v>2.8</c:v>
                </c:pt>
                <c:pt idx="47">
                  <c:v>2.7</c:v>
                </c:pt>
                <c:pt idx="48">
                  <c:v>2.6</c:v>
                </c:pt>
                <c:pt idx="49">
                  <c:v>2.5</c:v>
                </c:pt>
                <c:pt idx="50">
                  <c:v>2.2999999999999998</c:v>
                </c:pt>
                <c:pt idx="51">
                  <c:v>2.2999999999999998</c:v>
                </c:pt>
                <c:pt idx="52">
                  <c:v>2.2000000000000002</c:v>
                </c:pt>
                <c:pt idx="53">
                  <c:v>2.2000000000000002</c:v>
                </c:pt>
                <c:pt idx="54">
                  <c:v>2.1</c:v>
                </c:pt>
                <c:pt idx="55">
                  <c:v>2.1</c:v>
                </c:pt>
                <c:pt idx="56">
                  <c:v>2</c:v>
                </c:pt>
              </c:numCache>
            </c:numRef>
          </c:val>
          <c:extLst>
            <c:ext xmlns:c16="http://schemas.microsoft.com/office/drawing/2014/chart" uri="{C3380CC4-5D6E-409C-BE32-E72D297353CC}">
              <c16:uniqueId val="{00000000-0DA7-4D35-841D-BBF97690C5F9}"/>
            </c:ext>
          </c:extLst>
        </c:ser>
        <c:ser>
          <c:idx val="1"/>
          <c:order val="1"/>
          <c:tx>
            <c:strRef>
              <c:f>'Pivot Table 1.2'!$C$3</c:f>
              <c:strCache>
                <c:ptCount val="1"/>
                <c:pt idx="0">
                  <c:v>Sum of Current price</c:v>
                </c:pt>
              </c:strCache>
            </c:strRef>
          </c:tx>
          <c:spPr>
            <a:solidFill>
              <a:schemeClr val="accent2"/>
            </a:solidFill>
            <a:ln>
              <a:noFill/>
            </a:ln>
            <a:effectLst/>
          </c:spPr>
          <c:invertIfNegative val="0"/>
          <c:cat>
            <c:strRef>
              <c:f>'Pivot Table 1.2'!$A$4:$A$113</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 1.2'!$C$4:$C$113</c:f>
              <c:numCache>
                <c:formatCode>General</c:formatCode>
                <c:ptCount val="109"/>
                <c:pt idx="0">
                  <c:v>171</c:v>
                </c:pt>
                <c:pt idx="1">
                  <c:v>2025</c:v>
                </c:pt>
                <c:pt idx="2">
                  <c:v>3640</c:v>
                </c:pt>
                <c:pt idx="3">
                  <c:v>332</c:v>
                </c:pt>
                <c:pt idx="4">
                  <c:v>195</c:v>
                </c:pt>
                <c:pt idx="5">
                  <c:v>979</c:v>
                </c:pt>
                <c:pt idx="6">
                  <c:v>1620</c:v>
                </c:pt>
                <c:pt idx="7">
                  <c:v>552</c:v>
                </c:pt>
                <c:pt idx="8">
                  <c:v>1740</c:v>
                </c:pt>
                <c:pt idx="9">
                  <c:v>1274</c:v>
                </c:pt>
                <c:pt idx="10">
                  <c:v>980</c:v>
                </c:pt>
                <c:pt idx="11">
                  <c:v>990</c:v>
                </c:pt>
                <c:pt idx="12">
                  <c:v>1940</c:v>
                </c:pt>
                <c:pt idx="13">
                  <c:v>1580</c:v>
                </c:pt>
                <c:pt idx="14">
                  <c:v>2319</c:v>
                </c:pt>
                <c:pt idx="15">
                  <c:v>2999</c:v>
                </c:pt>
                <c:pt idx="16">
                  <c:v>998</c:v>
                </c:pt>
                <c:pt idx="17">
                  <c:v>2199</c:v>
                </c:pt>
                <c:pt idx="18">
                  <c:v>420</c:v>
                </c:pt>
                <c:pt idx="19">
                  <c:v>1980</c:v>
                </c:pt>
                <c:pt idx="20">
                  <c:v>501</c:v>
                </c:pt>
                <c:pt idx="21">
                  <c:v>180</c:v>
                </c:pt>
                <c:pt idx="22">
                  <c:v>950</c:v>
                </c:pt>
                <c:pt idx="23">
                  <c:v>1650</c:v>
                </c:pt>
                <c:pt idx="24">
                  <c:v>1820</c:v>
                </c:pt>
                <c:pt idx="25">
                  <c:v>389</c:v>
                </c:pt>
                <c:pt idx="26">
                  <c:v>2048</c:v>
                </c:pt>
                <c:pt idx="27">
                  <c:v>185</c:v>
                </c:pt>
                <c:pt idx="28">
                  <c:v>1680</c:v>
                </c:pt>
                <c:pt idx="29">
                  <c:v>527</c:v>
                </c:pt>
                <c:pt idx="30">
                  <c:v>1758</c:v>
                </c:pt>
                <c:pt idx="31">
                  <c:v>799</c:v>
                </c:pt>
                <c:pt idx="32">
                  <c:v>988</c:v>
                </c:pt>
                <c:pt idx="33">
                  <c:v>330</c:v>
                </c:pt>
                <c:pt idx="34">
                  <c:v>2999</c:v>
                </c:pt>
                <c:pt idx="35">
                  <c:v>880</c:v>
                </c:pt>
                <c:pt idx="36">
                  <c:v>1600</c:v>
                </c:pt>
                <c:pt idx="37">
                  <c:v>2880</c:v>
                </c:pt>
                <c:pt idx="38">
                  <c:v>1350</c:v>
                </c:pt>
                <c:pt idx="39">
                  <c:v>38</c:v>
                </c:pt>
                <c:pt idx="40">
                  <c:v>458</c:v>
                </c:pt>
                <c:pt idx="41">
                  <c:v>2300</c:v>
                </c:pt>
                <c:pt idx="42">
                  <c:v>3750</c:v>
                </c:pt>
                <c:pt idx="43">
                  <c:v>1189</c:v>
                </c:pt>
                <c:pt idx="44">
                  <c:v>509</c:v>
                </c:pt>
                <c:pt idx="45">
                  <c:v>1220</c:v>
                </c:pt>
                <c:pt idx="46">
                  <c:v>445</c:v>
                </c:pt>
                <c:pt idx="47">
                  <c:v>325</c:v>
                </c:pt>
                <c:pt idx="48">
                  <c:v>382</c:v>
                </c:pt>
                <c:pt idx="49">
                  <c:v>2170</c:v>
                </c:pt>
                <c:pt idx="50">
                  <c:v>345</c:v>
                </c:pt>
                <c:pt idx="51">
                  <c:v>1000</c:v>
                </c:pt>
                <c:pt idx="52">
                  <c:v>990</c:v>
                </c:pt>
                <c:pt idx="53">
                  <c:v>968</c:v>
                </c:pt>
                <c:pt idx="54">
                  <c:v>1570</c:v>
                </c:pt>
                <c:pt idx="55">
                  <c:v>2115</c:v>
                </c:pt>
                <c:pt idx="56">
                  <c:v>450</c:v>
                </c:pt>
                <c:pt idx="57">
                  <c:v>1660</c:v>
                </c:pt>
                <c:pt idx="58">
                  <c:v>690</c:v>
                </c:pt>
                <c:pt idx="59">
                  <c:v>105</c:v>
                </c:pt>
                <c:pt idx="60">
                  <c:v>799</c:v>
                </c:pt>
                <c:pt idx="61">
                  <c:v>1456</c:v>
                </c:pt>
                <c:pt idx="62">
                  <c:v>671</c:v>
                </c:pt>
                <c:pt idx="63">
                  <c:v>1462</c:v>
                </c:pt>
                <c:pt idx="64">
                  <c:v>475</c:v>
                </c:pt>
                <c:pt idx="65">
                  <c:v>1768</c:v>
                </c:pt>
                <c:pt idx="66">
                  <c:v>1860</c:v>
                </c:pt>
                <c:pt idx="67">
                  <c:v>2200</c:v>
                </c:pt>
                <c:pt idx="68">
                  <c:v>274</c:v>
                </c:pt>
                <c:pt idx="69">
                  <c:v>799</c:v>
                </c:pt>
                <c:pt idx="70">
                  <c:v>1875</c:v>
                </c:pt>
                <c:pt idx="71">
                  <c:v>699</c:v>
                </c:pt>
                <c:pt idx="72">
                  <c:v>1190</c:v>
                </c:pt>
                <c:pt idx="73">
                  <c:v>1300</c:v>
                </c:pt>
                <c:pt idx="74">
                  <c:v>1200</c:v>
                </c:pt>
                <c:pt idx="75">
                  <c:v>1658</c:v>
                </c:pt>
                <c:pt idx="76">
                  <c:v>1200</c:v>
                </c:pt>
                <c:pt idx="77">
                  <c:v>850</c:v>
                </c:pt>
                <c:pt idx="78">
                  <c:v>1460</c:v>
                </c:pt>
                <c:pt idx="79">
                  <c:v>630</c:v>
                </c:pt>
                <c:pt idx="80">
                  <c:v>1666</c:v>
                </c:pt>
                <c:pt idx="81">
                  <c:v>1459</c:v>
                </c:pt>
                <c:pt idx="82">
                  <c:v>199</c:v>
                </c:pt>
                <c:pt idx="83">
                  <c:v>1466</c:v>
                </c:pt>
                <c:pt idx="84">
                  <c:v>899</c:v>
                </c:pt>
                <c:pt idx="85">
                  <c:v>790</c:v>
                </c:pt>
                <c:pt idx="86">
                  <c:v>2750</c:v>
                </c:pt>
                <c:pt idx="87">
                  <c:v>299</c:v>
                </c:pt>
                <c:pt idx="88">
                  <c:v>1190</c:v>
                </c:pt>
                <c:pt idx="89">
                  <c:v>525</c:v>
                </c:pt>
                <c:pt idx="90">
                  <c:v>230</c:v>
                </c:pt>
                <c:pt idx="91">
                  <c:v>610</c:v>
                </c:pt>
                <c:pt idx="92">
                  <c:v>1150</c:v>
                </c:pt>
                <c:pt idx="93">
                  <c:v>2799</c:v>
                </c:pt>
                <c:pt idx="94">
                  <c:v>169</c:v>
                </c:pt>
                <c:pt idx="95">
                  <c:v>2132</c:v>
                </c:pt>
                <c:pt idx="96">
                  <c:v>1080</c:v>
                </c:pt>
                <c:pt idx="97">
                  <c:v>898</c:v>
                </c:pt>
                <c:pt idx="98">
                  <c:v>1420</c:v>
                </c:pt>
                <c:pt idx="99">
                  <c:v>299</c:v>
                </c:pt>
                <c:pt idx="100">
                  <c:v>1526</c:v>
                </c:pt>
                <c:pt idx="101">
                  <c:v>248</c:v>
                </c:pt>
                <c:pt idx="102">
                  <c:v>1468</c:v>
                </c:pt>
                <c:pt idx="103">
                  <c:v>3546</c:v>
                </c:pt>
                <c:pt idx="104">
                  <c:v>198</c:v>
                </c:pt>
                <c:pt idx="105">
                  <c:v>238</c:v>
                </c:pt>
                <c:pt idx="106">
                  <c:v>999</c:v>
                </c:pt>
                <c:pt idx="107">
                  <c:v>375</c:v>
                </c:pt>
                <c:pt idx="108">
                  <c:v>1732</c:v>
                </c:pt>
              </c:numCache>
            </c:numRef>
          </c:val>
          <c:extLst>
            <c:ext xmlns:c16="http://schemas.microsoft.com/office/drawing/2014/chart" uri="{C3380CC4-5D6E-409C-BE32-E72D297353CC}">
              <c16:uniqueId val="{00000001-0DA7-4D35-841D-BBF97690C5F9}"/>
            </c:ext>
          </c:extLst>
        </c:ser>
        <c:dLbls>
          <c:showLegendKey val="0"/>
          <c:showVal val="0"/>
          <c:showCatName val="0"/>
          <c:showSerName val="0"/>
          <c:showPercent val="0"/>
          <c:showBubbleSize val="0"/>
        </c:dLbls>
        <c:gapWidth val="219"/>
        <c:axId val="515979672"/>
        <c:axId val="515981640"/>
      </c:barChart>
      <c:catAx>
        <c:axId val="5159796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15981640"/>
        <c:crosses val="autoZero"/>
        <c:auto val="1"/>
        <c:lblAlgn val="ctr"/>
        <c:lblOffset val="100"/>
        <c:noMultiLvlLbl val="0"/>
      </c:catAx>
      <c:valAx>
        <c:axId val="51598164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15979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latin typeface="Book Antiqua" panose="02040602050305030304" pitchFamily="18" charset="0"/>
              </a:rPr>
              <a:t>Are higher discounts leading to more sales (as indicated by the number of reviews)?</a:t>
            </a:r>
            <a:r>
              <a:rPr lang="en-US" sz="1400" b="0" i="0" u="none" strike="noStrike" baseline="0">
                <a:latin typeface="Book Antiqua" panose="02040602050305030304" pitchFamily="18" charset="0"/>
              </a:rPr>
              <a:t> </a:t>
            </a:r>
            <a:endParaRPr lang="en-US">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Table'!$B$124</c:f>
              <c:strCache>
                <c:ptCount val="1"/>
                <c:pt idx="0">
                  <c:v>Average of 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Table'!$A$125:$A$234</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Table'!$B$125:$B$234</c:f>
              <c:numCache>
                <c:formatCode>General</c:formatCode>
                <c:ptCount val="109"/>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4.4000000000000004</c:v>
                </c:pt>
                <c:pt idx="24">
                  <c:v>4.3</c:v>
                </c:pt>
                <c:pt idx="25">
                  <c:v>4.3</c:v>
                </c:pt>
                <c:pt idx="26">
                  <c:v>4.3</c:v>
                </c:pt>
                <c:pt idx="27">
                  <c:v>4.3</c:v>
                </c:pt>
                <c:pt idx="28">
                  <c:v>4.2</c:v>
                </c:pt>
                <c:pt idx="29">
                  <c:v>4.0999999999999996</c:v>
                </c:pt>
                <c:pt idx="30">
                  <c:v>4.0999999999999996</c:v>
                </c:pt>
                <c:pt idx="31">
                  <c:v>4.0999999999999996</c:v>
                </c:pt>
                <c:pt idx="32">
                  <c:v>4</c:v>
                </c:pt>
                <c:pt idx="33">
                  <c:v>4</c:v>
                </c:pt>
                <c:pt idx="34">
                  <c:v>4</c:v>
                </c:pt>
                <c:pt idx="35">
                  <c:v>4</c:v>
                </c:pt>
                <c:pt idx="36">
                  <c:v>3.8</c:v>
                </c:pt>
                <c:pt idx="37">
                  <c:v>3.8</c:v>
                </c:pt>
                <c:pt idx="38">
                  <c:v>3.8</c:v>
                </c:pt>
                <c:pt idx="39">
                  <c:v>3.3</c:v>
                </c:pt>
                <c:pt idx="40">
                  <c:v>3</c:v>
                </c:pt>
                <c:pt idx="41">
                  <c:v>3</c:v>
                </c:pt>
                <c:pt idx="42">
                  <c:v>3</c:v>
                </c:pt>
                <c:pt idx="43">
                  <c:v>3</c:v>
                </c:pt>
                <c:pt idx="44">
                  <c:v>3</c:v>
                </c:pt>
                <c:pt idx="45">
                  <c:v>2.9</c:v>
                </c:pt>
                <c:pt idx="46">
                  <c:v>2.8</c:v>
                </c:pt>
                <c:pt idx="47">
                  <c:v>2.7</c:v>
                </c:pt>
                <c:pt idx="48">
                  <c:v>2.6</c:v>
                </c:pt>
                <c:pt idx="49">
                  <c:v>2.5</c:v>
                </c:pt>
                <c:pt idx="50">
                  <c:v>2.2999999999999998</c:v>
                </c:pt>
                <c:pt idx="51">
                  <c:v>2.2999999999999998</c:v>
                </c:pt>
                <c:pt idx="52">
                  <c:v>2.2000000000000002</c:v>
                </c:pt>
                <c:pt idx="53">
                  <c:v>2.2000000000000002</c:v>
                </c:pt>
                <c:pt idx="54">
                  <c:v>2.1</c:v>
                </c:pt>
                <c:pt idx="55">
                  <c:v>2.1</c:v>
                </c:pt>
                <c:pt idx="56">
                  <c:v>2</c:v>
                </c:pt>
              </c:numCache>
            </c:numRef>
          </c:val>
          <c:smooth val="0"/>
          <c:extLst>
            <c:ext xmlns:c16="http://schemas.microsoft.com/office/drawing/2014/chart" uri="{C3380CC4-5D6E-409C-BE32-E72D297353CC}">
              <c16:uniqueId val="{00000000-0065-4A18-8DA2-74803E66E31F}"/>
            </c:ext>
          </c:extLst>
        </c:ser>
        <c:ser>
          <c:idx val="1"/>
          <c:order val="1"/>
          <c:tx>
            <c:strRef>
              <c:f>'Pivot Table'!$C$124</c:f>
              <c:strCache>
                <c:ptCount val="1"/>
                <c:pt idx="0">
                  <c:v>Average of Discount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Table'!$A$125:$A$234</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Table'!$C$125:$C$234</c:f>
              <c:numCache>
                <c:formatCode>General</c:formatCode>
                <c:ptCount val="109"/>
                <c:pt idx="0">
                  <c:v>0.53</c:v>
                </c:pt>
                <c:pt idx="1">
                  <c:v>0.49</c:v>
                </c:pt>
                <c:pt idx="2">
                  <c:v>0.21</c:v>
                </c:pt>
                <c:pt idx="3">
                  <c:v>0.51</c:v>
                </c:pt>
                <c:pt idx="4">
                  <c:v>0.46</c:v>
                </c:pt>
                <c:pt idx="5">
                  <c:v>0.49</c:v>
                </c:pt>
                <c:pt idx="6">
                  <c:v>0.4</c:v>
                </c:pt>
                <c:pt idx="7">
                  <c:v>0.47</c:v>
                </c:pt>
                <c:pt idx="8">
                  <c:v>0.26</c:v>
                </c:pt>
                <c:pt idx="9">
                  <c:v>0.55000000000000004</c:v>
                </c:pt>
                <c:pt idx="10">
                  <c:v>0.34</c:v>
                </c:pt>
                <c:pt idx="11">
                  <c:v>0.34</c:v>
                </c:pt>
                <c:pt idx="12">
                  <c:v>0.27</c:v>
                </c:pt>
                <c:pt idx="13">
                  <c:v>0.37</c:v>
                </c:pt>
                <c:pt idx="14">
                  <c:v>0.24</c:v>
                </c:pt>
                <c:pt idx="15">
                  <c:v>0.19</c:v>
                </c:pt>
                <c:pt idx="16">
                  <c:v>0.49</c:v>
                </c:pt>
                <c:pt idx="17">
                  <c:v>0.25</c:v>
                </c:pt>
                <c:pt idx="18">
                  <c:v>0.35</c:v>
                </c:pt>
                <c:pt idx="19">
                  <c:v>0.27</c:v>
                </c:pt>
                <c:pt idx="20">
                  <c:v>0.42</c:v>
                </c:pt>
                <c:pt idx="21">
                  <c:v>0.38</c:v>
                </c:pt>
                <c:pt idx="22">
                  <c:v>0.38</c:v>
                </c:pt>
                <c:pt idx="23">
                  <c:v>0.23</c:v>
                </c:pt>
                <c:pt idx="24">
                  <c:v>0.48</c:v>
                </c:pt>
                <c:pt idx="25">
                  <c:v>0.41</c:v>
                </c:pt>
                <c:pt idx="26">
                  <c:v>0.54</c:v>
                </c:pt>
                <c:pt idx="27">
                  <c:v>0.52</c:v>
                </c:pt>
                <c:pt idx="28">
                  <c:v>0.33</c:v>
                </c:pt>
                <c:pt idx="29">
                  <c:v>0.47</c:v>
                </c:pt>
                <c:pt idx="30">
                  <c:v>0.3</c:v>
                </c:pt>
                <c:pt idx="31">
                  <c:v>0.2</c:v>
                </c:pt>
                <c:pt idx="32">
                  <c:v>0.37</c:v>
                </c:pt>
                <c:pt idx="33">
                  <c:v>0.49</c:v>
                </c:pt>
                <c:pt idx="34">
                  <c:v>0.09</c:v>
                </c:pt>
                <c:pt idx="35">
                  <c:v>0.35</c:v>
                </c:pt>
                <c:pt idx="36">
                  <c:v>0.45</c:v>
                </c:pt>
                <c:pt idx="37">
                  <c:v>0.18</c:v>
                </c:pt>
                <c:pt idx="38">
                  <c:v>0.32</c:v>
                </c:pt>
                <c:pt idx="39">
                  <c:v>0.53</c:v>
                </c:pt>
                <c:pt idx="40">
                  <c:v>0.54</c:v>
                </c:pt>
                <c:pt idx="41">
                  <c:v>0.28999999999999998</c:v>
                </c:pt>
                <c:pt idx="42">
                  <c:v>0.39</c:v>
                </c:pt>
                <c:pt idx="43">
                  <c:v>0.46</c:v>
                </c:pt>
                <c:pt idx="44">
                  <c:v>0.43</c:v>
                </c:pt>
                <c:pt idx="45">
                  <c:v>0.22</c:v>
                </c:pt>
                <c:pt idx="46">
                  <c:v>0.49</c:v>
                </c:pt>
                <c:pt idx="47">
                  <c:v>0.52</c:v>
                </c:pt>
                <c:pt idx="48">
                  <c:v>0.45</c:v>
                </c:pt>
                <c:pt idx="49">
                  <c:v>0.13</c:v>
                </c:pt>
                <c:pt idx="50">
                  <c:v>0.43</c:v>
                </c:pt>
                <c:pt idx="51">
                  <c:v>0.5</c:v>
                </c:pt>
                <c:pt idx="52">
                  <c:v>0.45</c:v>
                </c:pt>
                <c:pt idx="53">
                  <c:v>0.47</c:v>
                </c:pt>
                <c:pt idx="54">
                  <c:v>0.47</c:v>
                </c:pt>
                <c:pt idx="55">
                  <c:v>0.55000000000000004</c:v>
                </c:pt>
                <c:pt idx="56">
                  <c:v>0.5</c:v>
                </c:pt>
                <c:pt idx="57">
                  <c:v>0.02</c:v>
                </c:pt>
                <c:pt idx="58">
                  <c:v>0.43</c:v>
                </c:pt>
                <c:pt idx="59">
                  <c:v>0.48</c:v>
                </c:pt>
                <c:pt idx="60">
                  <c:v>0.41</c:v>
                </c:pt>
                <c:pt idx="61">
                  <c:v>0.49</c:v>
                </c:pt>
                <c:pt idx="62">
                  <c:v>0.49</c:v>
                </c:pt>
                <c:pt idx="63">
                  <c:v>0.02</c:v>
                </c:pt>
                <c:pt idx="64">
                  <c:v>0.49</c:v>
                </c:pt>
                <c:pt idx="65">
                  <c:v>0.02</c:v>
                </c:pt>
                <c:pt idx="66">
                  <c:v>0.42</c:v>
                </c:pt>
                <c:pt idx="67">
                  <c:v>0.46</c:v>
                </c:pt>
                <c:pt idx="68">
                  <c:v>0.49</c:v>
                </c:pt>
                <c:pt idx="69">
                  <c:v>0.11</c:v>
                </c:pt>
                <c:pt idx="70">
                  <c:v>0.01</c:v>
                </c:pt>
                <c:pt idx="71">
                  <c:v>0.48</c:v>
                </c:pt>
                <c:pt idx="72">
                  <c:v>0.34</c:v>
                </c:pt>
                <c:pt idx="73">
                  <c:v>0.48</c:v>
                </c:pt>
                <c:pt idx="74">
                  <c:v>0.5</c:v>
                </c:pt>
                <c:pt idx="75">
                  <c:v>0.02</c:v>
                </c:pt>
                <c:pt idx="76">
                  <c:v>0.38</c:v>
                </c:pt>
                <c:pt idx="77">
                  <c:v>0.5</c:v>
                </c:pt>
                <c:pt idx="78">
                  <c:v>0.36</c:v>
                </c:pt>
                <c:pt idx="79">
                  <c:v>0.43</c:v>
                </c:pt>
                <c:pt idx="80">
                  <c:v>0.02</c:v>
                </c:pt>
                <c:pt idx="81">
                  <c:v>0.03</c:v>
                </c:pt>
                <c:pt idx="82">
                  <c:v>0.64</c:v>
                </c:pt>
                <c:pt idx="83">
                  <c:v>0.14000000000000001</c:v>
                </c:pt>
                <c:pt idx="84">
                  <c:v>0.47</c:v>
                </c:pt>
                <c:pt idx="85">
                  <c:v>0.47</c:v>
                </c:pt>
                <c:pt idx="86">
                  <c:v>0.38</c:v>
                </c:pt>
                <c:pt idx="87">
                  <c:v>0.22</c:v>
                </c:pt>
                <c:pt idx="88">
                  <c:v>0.33</c:v>
                </c:pt>
                <c:pt idx="89">
                  <c:v>0.49</c:v>
                </c:pt>
                <c:pt idx="90">
                  <c:v>0.49</c:v>
                </c:pt>
                <c:pt idx="91">
                  <c:v>0.42</c:v>
                </c:pt>
                <c:pt idx="92">
                  <c:v>0.34</c:v>
                </c:pt>
                <c:pt idx="93">
                  <c:v>0.27</c:v>
                </c:pt>
                <c:pt idx="94">
                  <c:v>0.47</c:v>
                </c:pt>
                <c:pt idx="95">
                  <c:v>0.02</c:v>
                </c:pt>
                <c:pt idx="96">
                  <c:v>0.42</c:v>
                </c:pt>
                <c:pt idx="97">
                  <c:v>0.5</c:v>
                </c:pt>
                <c:pt idx="98">
                  <c:v>0.41</c:v>
                </c:pt>
                <c:pt idx="99">
                  <c:v>0.5</c:v>
                </c:pt>
                <c:pt idx="100">
                  <c:v>0.08</c:v>
                </c:pt>
                <c:pt idx="101">
                  <c:v>0.49</c:v>
                </c:pt>
                <c:pt idx="102">
                  <c:v>0.14000000000000001</c:v>
                </c:pt>
                <c:pt idx="103">
                  <c:v>0.04</c:v>
                </c:pt>
                <c:pt idx="104">
                  <c:v>0.24</c:v>
                </c:pt>
                <c:pt idx="105">
                  <c:v>0.5</c:v>
                </c:pt>
                <c:pt idx="106">
                  <c:v>0.5</c:v>
                </c:pt>
                <c:pt idx="107">
                  <c:v>0.55000000000000004</c:v>
                </c:pt>
                <c:pt idx="108">
                  <c:v>0.04</c:v>
                </c:pt>
              </c:numCache>
            </c:numRef>
          </c:val>
          <c:smooth val="0"/>
          <c:extLst>
            <c:ext xmlns:c16="http://schemas.microsoft.com/office/drawing/2014/chart" uri="{C3380CC4-5D6E-409C-BE32-E72D297353CC}">
              <c16:uniqueId val="{00000001-0065-4A18-8DA2-74803E66E31F}"/>
            </c:ext>
          </c:extLst>
        </c:ser>
        <c:ser>
          <c:idx val="2"/>
          <c:order val="2"/>
          <c:tx>
            <c:strRef>
              <c:f>'Pivot Table'!$D$124</c:f>
              <c:strCache>
                <c:ptCount val="1"/>
                <c:pt idx="0">
                  <c:v>Sum of Review</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Table'!$A$125:$A$234</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Table'!$D$125:$D$234</c:f>
              <c:numCache>
                <c:formatCode>General</c:formatCode>
                <c:ptCount val="109"/>
                <c:pt idx="0">
                  <c:v>-2</c:v>
                </c:pt>
                <c:pt idx="1">
                  <c:v>-3</c:v>
                </c:pt>
                <c:pt idx="2">
                  <c:v>-1</c:v>
                </c:pt>
                <c:pt idx="3">
                  <c:v>-2</c:v>
                </c:pt>
                <c:pt idx="4">
                  <c:v>-2</c:v>
                </c:pt>
                <c:pt idx="5">
                  <c:v>-1</c:v>
                </c:pt>
                <c:pt idx="6">
                  <c:v>-1</c:v>
                </c:pt>
                <c:pt idx="7">
                  <c:v>-12</c:v>
                </c:pt>
                <c:pt idx="8">
                  <c:v>-5</c:v>
                </c:pt>
                <c:pt idx="9">
                  <c:v>-5</c:v>
                </c:pt>
                <c:pt idx="10">
                  <c:v>-12</c:v>
                </c:pt>
                <c:pt idx="11">
                  <c:v>-39</c:v>
                </c:pt>
                <c:pt idx="12">
                  <c:v>-20</c:v>
                </c:pt>
                <c:pt idx="13">
                  <c:v>-7</c:v>
                </c:pt>
                <c:pt idx="14">
                  <c:v>-55</c:v>
                </c:pt>
                <c:pt idx="15">
                  <c:v>-5</c:v>
                </c:pt>
                <c:pt idx="16">
                  <c:v>-44</c:v>
                </c:pt>
                <c:pt idx="17">
                  <c:v>-24</c:v>
                </c:pt>
                <c:pt idx="18">
                  <c:v>-49</c:v>
                </c:pt>
                <c:pt idx="19">
                  <c:v>-32</c:v>
                </c:pt>
                <c:pt idx="20">
                  <c:v>-6</c:v>
                </c:pt>
                <c:pt idx="21">
                  <c:v>-2</c:v>
                </c:pt>
                <c:pt idx="22">
                  <c:v>-2</c:v>
                </c:pt>
                <c:pt idx="23">
                  <c:v>-14</c:v>
                </c:pt>
                <c:pt idx="24">
                  <c:v>-9</c:v>
                </c:pt>
                <c:pt idx="25">
                  <c:v>-36</c:v>
                </c:pt>
                <c:pt idx="26">
                  <c:v>-7</c:v>
                </c:pt>
                <c:pt idx="27">
                  <c:v>-9</c:v>
                </c:pt>
                <c:pt idx="28">
                  <c:v>-9</c:v>
                </c:pt>
                <c:pt idx="29">
                  <c:v>-14</c:v>
                </c:pt>
                <c:pt idx="30">
                  <c:v>-20</c:v>
                </c:pt>
                <c:pt idx="31">
                  <c:v>-12</c:v>
                </c:pt>
                <c:pt idx="32">
                  <c:v>-2</c:v>
                </c:pt>
                <c:pt idx="33">
                  <c:v>-1</c:v>
                </c:pt>
                <c:pt idx="34">
                  <c:v>-15</c:v>
                </c:pt>
                <c:pt idx="35">
                  <c:v>-6</c:v>
                </c:pt>
                <c:pt idx="36">
                  <c:v>-5</c:v>
                </c:pt>
                <c:pt idx="37">
                  <c:v>-12</c:v>
                </c:pt>
                <c:pt idx="38">
                  <c:v>-13</c:v>
                </c:pt>
                <c:pt idx="39">
                  <c:v>-13</c:v>
                </c:pt>
                <c:pt idx="40">
                  <c:v>-10</c:v>
                </c:pt>
                <c:pt idx="41">
                  <c:v>-5</c:v>
                </c:pt>
                <c:pt idx="42">
                  <c:v>-5</c:v>
                </c:pt>
                <c:pt idx="43">
                  <c:v>-1</c:v>
                </c:pt>
                <c:pt idx="44">
                  <c:v>-5</c:v>
                </c:pt>
                <c:pt idx="45">
                  <c:v>-16</c:v>
                </c:pt>
                <c:pt idx="46">
                  <c:v>-69</c:v>
                </c:pt>
                <c:pt idx="47">
                  <c:v>-15</c:v>
                </c:pt>
                <c:pt idx="48">
                  <c:v>-17</c:v>
                </c:pt>
                <c:pt idx="49">
                  <c:v>-6</c:v>
                </c:pt>
                <c:pt idx="50">
                  <c:v>-6</c:v>
                </c:pt>
                <c:pt idx="51">
                  <c:v>-7</c:v>
                </c:pt>
                <c:pt idx="52">
                  <c:v>-6</c:v>
                </c:pt>
                <c:pt idx="53">
                  <c:v>-6</c:v>
                </c:pt>
                <c:pt idx="54">
                  <c:v>-7</c:v>
                </c:pt>
                <c:pt idx="55">
                  <c:v>-13</c:v>
                </c:pt>
                <c:pt idx="56">
                  <c:v>-1</c:v>
                </c:pt>
              </c:numCache>
            </c:numRef>
          </c:val>
          <c:smooth val="0"/>
          <c:extLst>
            <c:ext xmlns:c16="http://schemas.microsoft.com/office/drawing/2014/chart" uri="{C3380CC4-5D6E-409C-BE32-E72D297353CC}">
              <c16:uniqueId val="{00000002-0065-4A18-8DA2-74803E66E31F}"/>
            </c:ext>
          </c:extLst>
        </c:ser>
        <c:dLbls>
          <c:showLegendKey val="0"/>
          <c:showVal val="0"/>
          <c:showCatName val="0"/>
          <c:showSerName val="0"/>
          <c:showPercent val="0"/>
          <c:showBubbleSize val="0"/>
        </c:dLbls>
        <c:marker val="1"/>
        <c:smooth val="0"/>
        <c:axId val="542696688"/>
        <c:axId val="542697016"/>
      </c:lineChart>
      <c:catAx>
        <c:axId val="54269668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2697016"/>
        <c:crosses val="autoZero"/>
        <c:auto val="1"/>
        <c:lblAlgn val="ctr"/>
        <c:lblOffset val="100"/>
        <c:noMultiLvlLbl val="0"/>
      </c:catAx>
      <c:valAx>
        <c:axId val="542697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269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baseline="0">
                <a:effectLst/>
                <a:latin typeface="Book Antiqua" panose="02040602050305030304" pitchFamily="18" charset="0"/>
              </a:rPr>
              <a:t>Which product categories  e.g home appliance , tools , decorations have the highest ratings and discounts? </a:t>
            </a:r>
            <a:endParaRPr lang="en-US" sz="1200">
              <a:effectLst/>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Table'!$B$241</c:f>
              <c:strCache>
                <c:ptCount val="1"/>
                <c:pt idx="0">
                  <c:v>Total</c:v>
                </c:pt>
              </c:strCache>
            </c:strRef>
          </c:tx>
          <c:spPr>
            <a:solidFill>
              <a:schemeClr val="accent1"/>
            </a:solidFill>
            <a:ln>
              <a:noFill/>
            </a:ln>
            <a:effectLst/>
          </c:spPr>
          <c:invertIfNegative val="0"/>
          <c:cat>
            <c:strRef>
              <c:f>'Pivot Table'!$A$242:$A$351</c:f>
              <c:strCache>
                <c:ptCount val="109"/>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40cm Gold DIY Acrylic Wall Sticker Clock</c:v>
                </c:pt>
                <c:pt idx="8">
                  <c:v>Portable Home Small Air Humidifier 3-Speed Fan - Green</c:v>
                </c:pt>
                <c:pt idx="9">
                  <c:v>LASA FOLDING TABLE SERVING STAND</c:v>
                </c:pt>
                <c:pt idx="10">
                  <c:v>12 Litre Insulated Lunch Box Grey</c:v>
                </c:pt>
                <c:pt idx="11">
                  <c:v>100 Pcs Crochet Hook Tool Set Knitting Hook Set With Box</c:v>
                </c:pt>
                <c:pt idx="12">
                  <c:v>53Pcs/Set Yarn Knitting Crochet Hooks With Bag - Fortune Cat</c:v>
                </c:pt>
                <c:pt idx="13">
                  <c:v>Weighing Scale Digital Bathroom Body Fat Scale USB-Black</c:v>
                </c:pt>
                <c:pt idx="14">
                  <c:v>137 Pieces Cake Decorating Tool Set Baking Supplies</c:v>
                </c:pt>
                <c:pt idx="15">
                  <c:v>LED Wall Digital Alarm Clock Study Home 12 / 24H Clock Calendar</c:v>
                </c:pt>
                <c:pt idx="16">
                  <c:v>3D Waterproof EVA Plastic Shower Curtain 1.8*2Mtrs</c:v>
                </c:pt>
                <c:pt idx="17">
                  <c:v>Portable Mini Cordless Car Vacuum Cleaner - Blue</c:v>
                </c:pt>
                <c:pt idx="18">
                  <c:v>Electronic Digital Display Vernier Caliper</c:v>
                </c:pt>
                <c:pt idx="19">
                  <c:v>53 Pieces/Set Yarn Knitting Crochet Hooks With Bag - Pansies</c:v>
                </c:pt>
                <c:pt idx="20">
                  <c:v>LASA Digital Thermometer And Hydrometer</c:v>
                </c:pt>
                <c:pt idx="21">
                  <c:v>1/2/3 Seater Elastic Sofa Cover,Living Room/Home Decor Chair Cover-Grey</c:v>
                </c:pt>
                <c:pt idx="22">
                  <c:v>115  Piece Set Of Multifunctional Precision Screwdrivers</c:v>
                </c:pt>
                <c:pt idx="23">
                  <c:v>Foldable Overbed Table/Desk</c:v>
                </c:pt>
                <c:pt idx="24">
                  <c:v>LED Eye Protection  Desk Lamp , Study, Reading, USB Fan - Double Pen Holder</c:v>
                </c:pt>
                <c:pt idx="25">
                  <c:v>Punch-free Great Load Bearing Bathroom Storage Rack Wall Shelf-White</c:v>
                </c:pt>
                <c:pt idx="26">
                  <c:v>LASA 3 Tier Bamboo Shoe Bench Storage Shelf</c:v>
                </c:pt>
                <c:pt idx="27">
                  <c:v>Exfoliate And Exfoliate Face Towel - Black</c:v>
                </c:pt>
                <c:pt idx="28">
                  <c:v>Multifunction Laser Level With Adjustment Tripod</c:v>
                </c:pt>
                <c:pt idx="29">
                  <c:v>Metal Decorative Hooks Key Hangers Entryway Wall Hooks Towel Hooks - Home</c:v>
                </c:pt>
                <c:pt idx="30">
                  <c:v>52 Pieces Cake Decorating Tool Set Gift Kit Baking Supplies</c:v>
                </c:pt>
                <c:pt idx="31">
                  <c:v>Genebre 115 In 1 Screwdriver Repairing Tool Set For IPhone Cellphone Hand Tool</c:v>
                </c:pt>
                <c:pt idx="32">
                  <c:v>Desk Foldable Fan Adjustable Fan Strong Wind 3 Gear Usb</c:v>
                </c:pt>
                <c:pt idx="33">
                  <c:v>Household Pineapple Peeler Peeler</c:v>
                </c:pt>
                <c:pt idx="34">
                  <c:v>220V 60W Electric Soldering Iron Kits With Tools, Tips, And Multimeter</c:v>
                </c:pt>
                <c:pt idx="35">
                  <c:v>LED Romantic Spaceship Starry Sky Projector,Children's Bedroom Night Light-Blue</c:v>
                </c:pt>
                <c:pt idx="36">
                  <c:v>13 In 1 Home Repair Tools Box Kit Set</c:v>
                </c:pt>
                <c:pt idx="37">
                  <c:v>Portable Wardrobe Nonwoven With 3 Hanging Rods And 6 Storage Shelves</c:v>
                </c:pt>
                <c:pt idx="38">
                  <c:v>12 Litre Black Insulated Lunch Box</c:v>
                </c:pt>
                <c:pt idx="39">
                  <c:v>3PCS Single Head Knitting Crochet Sweater Needle Set</c:v>
                </c:pt>
                <c:pt idx="40">
                  <c:v>Mythco 120COB Solar Wall Ligt With Motion Sensor And Remote Control 3 Modes</c:v>
                </c:pt>
                <c:pt idx="41">
                  <c:v>Large Lazy Inflatable Sofa Chairs PVC Lounger Seat Bag</c:v>
                </c:pt>
                <c:pt idx="42">
                  <c:v>32PCS Portable Cordless Drill Set With Cyclic Battery Drive -26 Variable Speed</c:v>
                </c:pt>
                <c:pt idx="43">
                  <c:v>Memory Foam Neck Pillow Cover, With Pillow Core - 50*30cm</c:v>
                </c:pt>
                <c:pt idx="44">
                  <c:v>Wrought Iron Bathroom Shelf Wall Mounted Free Punch Toilet Rack</c:v>
                </c:pt>
                <c:pt idx="45">
                  <c:v>VIC Wireless Vacuum Cleaner Dual Use For Home And Car 120W High Power Powerful</c:v>
                </c:pt>
                <c:pt idx="46">
                  <c:v>120W Cordless Vacuum Cleaners Handheld Electric Vacuum Cleaner</c:v>
                </c:pt>
                <c:pt idx="47">
                  <c:v>Intelligent  LED Body Sensor Wireless Lighting Night Light USB</c:v>
                </c:pt>
                <c:pt idx="48">
                  <c:v>Agapeon Toothbrush Holder And Toothpaste Dispenser</c:v>
                </c:pt>
                <c:pt idx="49">
                  <c:v>5 Pieces/set Of Stainless Steel Induction Cooker Pots</c:v>
                </c:pt>
                <c:pt idx="50">
                  <c:v>Watercolour Gold Foil Textured Print Pillow Cover</c:v>
                </c:pt>
                <c:pt idx="51">
                  <c:v>380ML USB Rechargeable Portable Small Blenders And Juicers</c:v>
                </c:pt>
                <c:pt idx="52">
                  <c:v>Artificial Potted Flowers Room Decorative Flowers (2 Pieces)</c:v>
                </c:pt>
                <c:pt idx="53">
                  <c:v>7-piece Set Of Storage Bags, Travel Storage Bags, Shoe Bags</c:v>
                </c:pt>
                <c:pt idx="54">
                  <c:v>Electric LED UV Mosquito Killer Lamp, Outdoor/Indoor Fly Killer Trap Light -USB</c:v>
                </c:pt>
                <c:pt idx="55">
                  <c:v>5-PCS Stainless Steel Cooking Pot Set With Steamed Slices</c:v>
                </c:pt>
                <c:pt idx="56">
                  <c:v>Wall-mounted Sticker Punch-free Plug Fixer</c:v>
                </c:pt>
                <c:pt idx="57">
                  <c:v>Pen Grips For Kids Pen Grip Posture Correction Tool For Kids</c:v>
                </c:pt>
                <c:pt idx="58">
                  <c:v>3PCS Rotary Scraper Thermomix For Kitchen</c:v>
                </c:pt>
                <c:pt idx="59">
                  <c:v>Sewing Machine Needle Threader Stitch Insertion Tool Automatic Quick Sewing</c:v>
                </c:pt>
                <c:pt idx="60">
                  <c:v>Cute Christmas Fence Garden Decorations For Holiday Home</c:v>
                </c:pt>
                <c:pt idx="61">
                  <c:v>Angle Measuring Tool Full Metal Multi Angle Measuring Tool</c:v>
                </c:pt>
                <c:pt idx="62">
                  <c:v>Car Phone Charging Stand</c:v>
                </c:pt>
                <c:pt idx="63">
                  <c:v>Portable Soap Dispenser Kitchen Detergent Press Box Kitchen Tools</c:v>
                </c:pt>
                <c:pt idx="64">
                  <c:v>4M Float Switch Water Level Controller -Water Tank</c:v>
                </c:pt>
                <c:pt idx="65">
                  <c:v>Thickening Multipurpose Non Stick Easy To Clean Heat Resistant Spoon Pad</c:v>
                </c:pt>
                <c:pt idx="66">
                  <c:v>4pcs Bathroom/Kitchen Towel Rack,Roll Paper Holder,Towel Bars,Hook</c:v>
                </c:pt>
                <c:pt idx="67">
                  <c:v>MultiFunctional Storage Rack Multi-layer Bookshelf</c:v>
                </c:pt>
                <c:pt idx="68">
                  <c:v>Cartoon Car Decoration Cute Individuality For Car Home Desk</c:v>
                </c:pt>
                <c:pt idx="69">
                  <c:v>Outdoor Portable Water Bottle With Medicine Box - 600ML - Black</c:v>
                </c:pt>
                <c:pt idx="70">
                  <c:v>24 Grid Wall-mounted Sundries Organiser Fabric Closet Bag Storage Rack</c:v>
                </c:pt>
                <c:pt idx="71">
                  <c:v>Christmas Fence Garden Decorations Outdoor For Holiday Home</c:v>
                </c:pt>
                <c:pt idx="72">
                  <c:v>Cartoon Embroidered Mini Towel Bear Cotton Wash Cloth Hand 4pcs</c:v>
                </c:pt>
                <c:pt idx="73">
                  <c:v>Portable Wine Table With Folding Round Table</c:v>
                </c:pt>
                <c:pt idx="74">
                  <c:v>2PCS Ice Silk Square Cushion Cover Pillowcases - 65x65cm</c:v>
                </c:pt>
                <c:pt idx="75">
                  <c:v>Shower Nozzle Cleaning Unclogging Needle Mini Crevice Small Hole Cleaning Brush</c:v>
                </c:pt>
                <c:pt idx="76">
                  <c:v>2pcs Solar Street Light Flood Light Outdoor</c:v>
                </c:pt>
                <c:pt idx="77">
                  <c:v>Wall Clock With Hidden Safe Box</c:v>
                </c:pt>
                <c:pt idx="78">
                  <c:v>5m Waterproof Spherical LED String Lights Outdoor Ball Chain Lights Party Lighting Decoration Adjustable</c:v>
                </c:pt>
                <c:pt idx="79">
                  <c:v>Multifunctional Hanging Storage Box Storage Bag (4 Layers)</c:v>
                </c:pt>
                <c:pt idx="80">
                  <c:v>2 Pairs Cowhide Split Leather Work Gloves.32â„‰ Or Above Welding Gloves</c:v>
                </c:pt>
                <c:pt idx="81">
                  <c:v>Multi-purpose Rice Drainage Basket And Fruit And Vegetable Drainage Sieve</c:v>
                </c:pt>
                <c:pt idx="82">
                  <c:v>6 In 1 Bottle Can Opener Multifunctional Easy Opener</c:v>
                </c:pt>
                <c:pt idx="83">
                  <c:v>Office Chair Lumbar Back Support Spine Posture Correction Pillow Car Cushion</c:v>
                </c:pt>
                <c:pt idx="84">
                  <c:v>6 Layers Steel Pipe Assembling Dustproof Storage Shoe Cabinet</c:v>
                </c:pt>
                <c:pt idx="85">
                  <c:v>2PCS/LOT Solar LED Outdoor Intelligent Light Controlled Wall Lamp</c:v>
                </c:pt>
                <c:pt idx="86">
                  <c:v>LASA Stainless Steel Double Wall Mount Soap Dispenser - 500ml</c:v>
                </c:pt>
                <c:pt idx="87">
                  <c:v>Pilates Cloth Bag Waterproof Durable High Capacity Purple</c:v>
                </c:pt>
                <c:pt idx="88">
                  <c:v>60W Hot Melt Glue Sprayer - Efficient And Stable Glue Dispensing</c:v>
                </c:pt>
                <c:pt idx="89">
                  <c:v>Baby Early Education Shape And Color Cognitive Training Toys</c:v>
                </c:pt>
                <c:pt idx="90">
                  <c:v>7PCS Silicone Thumb Knife Finger Protector Vegetable Harvesting Knife</c:v>
                </c:pt>
                <c:pt idx="91">
                  <c:v>Balloon Insert, Birthday Party Balloon Set, PU Leather</c:v>
                </c:pt>
                <c:pt idx="92">
                  <c:v>LED Solar Street Light-fake Camera</c:v>
                </c:pt>
                <c:pt idx="93">
                  <c:v>12V 19500rpm Handheld Electric Angle Grinder Tool - UK - Yellow/Black</c:v>
                </c:pt>
                <c:pt idx="94">
                  <c:v>Black Simple Water Cup Wine Coaster Anti Slip Absorbent</c:v>
                </c:pt>
                <c:pt idx="95">
                  <c:v>Shower Cap Wide Elastic Band Cover Reusable Bashroom Cap</c:v>
                </c:pt>
                <c:pt idx="96">
                  <c:v>8in1 Screwdriver With LED Light</c:v>
                </c:pt>
                <c:pt idx="97">
                  <c:v>Simple Metal Dog Art Sculpture Decoration For Home Office</c:v>
                </c:pt>
                <c:pt idx="98">
                  <c:v>9pcs Gas Mask, For Painting, Dust, Formaldehyde Grinding, Polishing</c:v>
                </c:pt>
                <c:pt idx="99">
                  <c:v>Brush &amp; Paintbrush Cleaning Tool Pink</c:v>
                </c:pt>
                <c:pt idx="100">
                  <c:v>Wall Mount Automatic Toothpaste Dispenser Toothbrush Holder Toothpaste Squeezer</c:v>
                </c:pt>
                <c:pt idx="101">
                  <c:v>4 Piece Coloured Stainless Steel Kitchenware Set</c:v>
                </c:pt>
                <c:pt idx="102">
                  <c:v>Wall-Mounted Toothbrush Toothpaste Holder With Multiple Slots</c:v>
                </c:pt>
                <c:pt idx="103">
                  <c:v>Metal Wall Clock Silver Dial Crystal Jewelry Round Home Decoration Wall Clock</c:v>
                </c:pt>
                <c:pt idx="104">
                  <c:v>1PC Refrigerator Food Seal Pocket Fridge Bags</c:v>
                </c:pt>
                <c:pt idx="105">
                  <c:v>Modern Sofa Throw Pillow Cover-45x45cm-Blue&amp;Red</c:v>
                </c:pt>
                <c:pt idx="106">
                  <c:v>Christmas Elk Fence Yard Lawn Decorations Cute For Holidays</c:v>
                </c:pt>
                <c:pt idx="107">
                  <c:v>Creative Owl Shape Keychain Black</c:v>
                </c:pt>
                <c:pt idx="108">
                  <c:v>Cushion Silicone Butt Cushion Summer Ice Cushion Honeycomb Gel Cushion</c:v>
                </c:pt>
              </c:strCache>
            </c:strRef>
          </c:cat>
          <c:val>
            <c:numRef>
              <c:f>'Pivot Table'!$B$242:$B$351</c:f>
              <c:numCache>
                <c:formatCode>General</c:formatCode>
                <c:ptCount val="109"/>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4.4000000000000004</c:v>
                </c:pt>
                <c:pt idx="24">
                  <c:v>4.3</c:v>
                </c:pt>
                <c:pt idx="25">
                  <c:v>4.3</c:v>
                </c:pt>
                <c:pt idx="26">
                  <c:v>4.3</c:v>
                </c:pt>
                <c:pt idx="27">
                  <c:v>4.3</c:v>
                </c:pt>
                <c:pt idx="28">
                  <c:v>4.2</c:v>
                </c:pt>
                <c:pt idx="29">
                  <c:v>4.0999999999999996</c:v>
                </c:pt>
                <c:pt idx="30">
                  <c:v>4.0999999999999996</c:v>
                </c:pt>
                <c:pt idx="31">
                  <c:v>4.0999999999999996</c:v>
                </c:pt>
                <c:pt idx="32">
                  <c:v>4</c:v>
                </c:pt>
                <c:pt idx="33">
                  <c:v>4</c:v>
                </c:pt>
                <c:pt idx="34">
                  <c:v>4</c:v>
                </c:pt>
                <c:pt idx="35">
                  <c:v>4</c:v>
                </c:pt>
                <c:pt idx="36">
                  <c:v>3.8</c:v>
                </c:pt>
                <c:pt idx="37">
                  <c:v>3.8</c:v>
                </c:pt>
                <c:pt idx="38">
                  <c:v>3.8</c:v>
                </c:pt>
                <c:pt idx="39">
                  <c:v>3.3</c:v>
                </c:pt>
                <c:pt idx="40">
                  <c:v>3</c:v>
                </c:pt>
                <c:pt idx="41">
                  <c:v>3</c:v>
                </c:pt>
                <c:pt idx="42">
                  <c:v>3</c:v>
                </c:pt>
                <c:pt idx="43">
                  <c:v>3</c:v>
                </c:pt>
                <c:pt idx="44">
                  <c:v>3</c:v>
                </c:pt>
                <c:pt idx="45">
                  <c:v>2.9</c:v>
                </c:pt>
                <c:pt idx="46">
                  <c:v>2.8</c:v>
                </c:pt>
                <c:pt idx="47">
                  <c:v>2.7</c:v>
                </c:pt>
                <c:pt idx="48">
                  <c:v>2.6</c:v>
                </c:pt>
                <c:pt idx="49">
                  <c:v>2.5</c:v>
                </c:pt>
                <c:pt idx="50">
                  <c:v>2.2999999999999998</c:v>
                </c:pt>
                <c:pt idx="51">
                  <c:v>2.2999999999999998</c:v>
                </c:pt>
                <c:pt idx="52">
                  <c:v>2.2000000000000002</c:v>
                </c:pt>
                <c:pt idx="53">
                  <c:v>2.2000000000000002</c:v>
                </c:pt>
                <c:pt idx="54">
                  <c:v>2.1</c:v>
                </c:pt>
                <c:pt idx="55">
                  <c:v>2.1</c:v>
                </c:pt>
                <c:pt idx="56">
                  <c:v>2</c:v>
                </c:pt>
              </c:numCache>
            </c:numRef>
          </c:val>
          <c:extLst>
            <c:ext xmlns:c16="http://schemas.microsoft.com/office/drawing/2014/chart" uri="{C3380CC4-5D6E-409C-BE32-E72D297353CC}">
              <c16:uniqueId val="{00000000-09FB-4347-A303-5E6279C6C56F}"/>
            </c:ext>
          </c:extLst>
        </c:ser>
        <c:dLbls>
          <c:showLegendKey val="0"/>
          <c:showVal val="0"/>
          <c:showCatName val="0"/>
          <c:showSerName val="0"/>
          <c:showPercent val="0"/>
          <c:showBubbleSize val="0"/>
        </c:dLbls>
        <c:gapWidth val="219"/>
        <c:overlap val="-27"/>
        <c:axId val="548625096"/>
        <c:axId val="548625752"/>
      </c:barChart>
      <c:catAx>
        <c:axId val="548625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8625752"/>
        <c:crosses val="autoZero"/>
        <c:auto val="1"/>
        <c:lblAlgn val="ctr"/>
        <c:lblOffset val="100"/>
        <c:noMultiLvlLbl val="0"/>
      </c:catAx>
      <c:valAx>
        <c:axId val="548625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8625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Which product categories  e.g home appliance , tools , decorations have the highest ratings and discounts?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Table'!$B$353</c:f>
              <c:strCache>
                <c:ptCount val="1"/>
                <c:pt idx="0">
                  <c:v>Total</c:v>
                </c:pt>
              </c:strCache>
            </c:strRef>
          </c:tx>
          <c:spPr>
            <a:solidFill>
              <a:schemeClr val="accent1"/>
            </a:solidFill>
            <a:ln>
              <a:noFill/>
            </a:ln>
            <a:effectLst/>
          </c:spPr>
          <c:cat>
            <c:strRef>
              <c:f>'Pivot Table'!$A$354:$A$463</c:f>
              <c:strCache>
                <c:ptCount val="109"/>
                <c:pt idx="0">
                  <c:v>Creative Owl Shape Keychain Black</c:v>
                </c:pt>
                <c:pt idx="1">
                  <c:v>Simple Metal Dog Art Sculpture Decoration For Home Office</c:v>
                </c:pt>
                <c:pt idx="2">
                  <c:v>Angle Measuring Tool Full Metal Multi Angle Measuring Tool</c:v>
                </c:pt>
                <c:pt idx="3">
                  <c:v>6 In 1 Bottle Can Opener Multifunctional Easy Opener</c:v>
                </c:pt>
                <c:pt idx="4">
                  <c:v>LASA FOLDING TABLE SERVING STAND</c:v>
                </c:pt>
                <c:pt idx="5">
                  <c:v>5-PCS Stainless Steel Cooking Pot Set With Steamed Slices</c:v>
                </c:pt>
                <c:pt idx="6">
                  <c:v>LASA 3 Tier Bamboo Shoe Bench Storage Shelf</c:v>
                </c:pt>
                <c:pt idx="7">
                  <c:v>Mythco 120COB Solar Wall Ligt With Motion Sensor And Remote Control 3 Modes</c:v>
                </c:pt>
                <c:pt idx="8">
                  <c:v>3PCS Single Head Knitting Crochet Sweater Needle Set</c:v>
                </c:pt>
                <c:pt idx="9">
                  <c:v>Classic Black Cat Cotton Hemp Pillow Case For Home Car</c:v>
                </c:pt>
                <c:pt idx="10">
                  <c:v>Intelligent  LED Body Sensor Wireless Lighting Night Light USB</c:v>
                </c:pt>
                <c:pt idx="11">
                  <c:v>Exfoliate And Exfoliate Face Towel - Black</c:v>
                </c:pt>
                <c:pt idx="12">
                  <c:v>Anti-Skid Absorbent Insulation Coaster  For Home Office</c:v>
                </c:pt>
                <c:pt idx="13">
                  <c:v>Christmas Elk Fence Yard Lawn Decorations Cute For Holidays</c:v>
                </c:pt>
                <c:pt idx="14">
                  <c:v>380ML USB Rechargeable Portable Small Blenders And Juicers</c:v>
                </c:pt>
                <c:pt idx="15">
                  <c:v>Modern Sofa Throw Pillow Cover-45x45cm-Blue&amp;Red</c:v>
                </c:pt>
                <c:pt idx="16">
                  <c:v>Wall-mounted Sticker Punch-free Plug Fixer</c:v>
                </c:pt>
                <c:pt idx="17">
                  <c:v>2PCS Ice Silk Square Cushion Cover Pillowcases - 65x65cm</c:v>
                </c:pt>
                <c:pt idx="18">
                  <c:v>Brush &amp; Paintbrush Cleaning Tool Pink</c:v>
                </c:pt>
                <c:pt idx="19">
                  <c:v>Wall Clock With Hidden Safe Box</c:v>
                </c:pt>
                <c:pt idx="20">
                  <c:v>4 Piece Coloured Stainless Steel Kitchenware Set</c:v>
                </c:pt>
                <c:pt idx="21">
                  <c:v>LASA Aluminum Folding Truck Hand Cart - 68kg Max</c:v>
                </c:pt>
                <c:pt idx="22">
                  <c:v>Baby Early Education Shape And Color Cognitive Training Toys</c:v>
                </c:pt>
                <c:pt idx="23">
                  <c:v>3D Waterproof EVA Plastic Shower Curtain 1.8*2Mtrs</c:v>
                </c:pt>
                <c:pt idx="24">
                  <c:v>Cartoon Car Decoration Cute Individuality For Car Home Desk</c:v>
                </c:pt>
                <c:pt idx="25">
                  <c:v>Household Pineapple Peeler Peeler</c:v>
                </c:pt>
                <c:pt idx="26">
                  <c:v>4M Float Switch Water Level Controller -Water Tank</c:v>
                </c:pt>
                <c:pt idx="27">
                  <c:v>120W Cordless Vacuum Cleaners Handheld Electric Vacuum Cleaner</c:v>
                </c:pt>
                <c:pt idx="28">
                  <c:v>7PCS Silicone Thumb Knife Finger Protector Vegetable Harvesting Knife</c:v>
                </c:pt>
                <c:pt idx="29">
                  <c:v>Bedroom Simple Floor Hanging Clothes Rack Single Pole Hat Rack - White</c:v>
                </c:pt>
                <c:pt idx="30">
                  <c:v>Car Phone Charging Stand</c:v>
                </c:pt>
                <c:pt idx="31">
                  <c:v>Sewing Machine Needle Threader Stitch Insertion Tool Automatic Quick Sewing</c:v>
                </c:pt>
                <c:pt idx="32">
                  <c:v>Portable Wine Table With Folding Round Table</c:v>
                </c:pt>
                <c:pt idx="33">
                  <c:v>LED Eye Protection  Desk Lamp , Study, Reading, USB Fan - Double Pen Holder</c:v>
                </c:pt>
                <c:pt idx="34">
                  <c:v>Christmas Fence Garden Decorations Outdoor For Holiday Home</c:v>
                </c:pt>
                <c:pt idx="35">
                  <c:v>40cm Gold DIY Acrylic Wall Sticker Clock</c:v>
                </c:pt>
                <c:pt idx="36">
                  <c:v>6 Layers Steel Pipe Assembling Dustproof Storage Shoe Cabinet</c:v>
                </c:pt>
                <c:pt idx="37">
                  <c:v>Metal Decorative Hooks Key Hangers Entryway Wall Hooks Towel Hooks - Home</c:v>
                </c:pt>
                <c:pt idx="38">
                  <c:v>2PCS/LOT Solar LED Outdoor Intelligent Light Controlled Wall Lamp</c:v>
                </c:pt>
                <c:pt idx="39">
                  <c:v>7-piece Set Of Storage Bags, Travel Storage Bags, Shoe Bags</c:v>
                </c:pt>
                <c:pt idx="40">
                  <c:v>Black Simple Water Cup Wine Coaster Anti Slip Absorbent</c:v>
                </c:pt>
                <c:pt idx="41">
                  <c:v>Electric LED UV Mosquito Killer Lamp, Outdoor/Indoor Fly Killer Trap Light -USB</c:v>
                </c:pt>
                <c:pt idx="42">
                  <c:v>MultiFunctional Storage Rack Multi-layer Bookshelf</c:v>
                </c:pt>
                <c:pt idx="43">
                  <c:v>Peacock  Throw Pillow Cushion Case For Home Car</c:v>
                </c:pt>
                <c:pt idx="44">
                  <c:v>Memory Foam Neck Pillow Cover, With Pillow Core - 50*30cm</c:v>
                </c:pt>
                <c:pt idx="45">
                  <c:v>Agapeon Toothbrush Holder And Toothpaste Dispenser</c:v>
                </c:pt>
                <c:pt idx="46">
                  <c:v>Artificial Potted Flowers Room Decorative Flowers (2 Pieces)</c:v>
                </c:pt>
                <c:pt idx="47">
                  <c:v>13 In 1 Home Repair Tools Box Kit Set</c:v>
                </c:pt>
                <c:pt idx="48">
                  <c:v>Wrought Iron Bathroom Shelf Wall Mounted Free Punch Toilet Rack</c:v>
                </c:pt>
                <c:pt idx="49">
                  <c:v>3PCS Rotary Scraper Thermomix For Kitchen</c:v>
                </c:pt>
                <c:pt idx="50">
                  <c:v>Watercolour Gold Foil Textured Print Pillow Cover</c:v>
                </c:pt>
                <c:pt idx="51">
                  <c:v>Multifunctional Hanging Storage Box Storage Bag (4 Layers)</c:v>
                </c:pt>
                <c:pt idx="52">
                  <c:v>8in1 Screwdriver With LED Light</c:v>
                </c:pt>
                <c:pt idx="53">
                  <c:v>4pcs Bathroom/Kitchen Towel Rack,Roll Paper Holder,Towel Bars,Hook</c:v>
                </c:pt>
                <c:pt idx="54">
                  <c:v>Balloon Insert, Birthday Party Balloon Set, PU Leather</c:v>
                </c:pt>
                <c:pt idx="55">
                  <c:v>LASA Digital Thermometer And Hydrometer</c:v>
                </c:pt>
                <c:pt idx="56">
                  <c:v>9pcs Gas Mask, For Painting, Dust, Formaldehyde Grinding, Polishing</c:v>
                </c:pt>
                <c:pt idx="57">
                  <c:v>Punch-free Great Load Bearing Bathroom Storage Rack Wall Shelf-White</c:v>
                </c:pt>
                <c:pt idx="58">
                  <c:v>Cute Christmas Fence Garden Decorations For Holiday Home</c:v>
                </c:pt>
                <c:pt idx="59">
                  <c:v>DIY File Folder, Office Drawer File Holder, Pen Holder, Desktop Storage Rack</c:v>
                </c:pt>
                <c:pt idx="60">
                  <c:v>32PCS Portable Cordless Drill Set With Cyclic Battery Drive -26 Variable Speed</c:v>
                </c:pt>
                <c:pt idx="61">
                  <c:v>115  Piece Set Of Multifunctional Precision Screwdrivers</c:v>
                </c:pt>
                <c:pt idx="62">
                  <c:v>2pcs Solar Street Light Flood Light Outdoor</c:v>
                </c:pt>
                <c:pt idx="63">
                  <c:v>1/2/3 Seater Elastic Sofa Cover,Living Room/Home Decor Chair Cover-Grey</c:v>
                </c:pt>
                <c:pt idx="64">
                  <c:v>LASA Stainless Steel Double Wall Mount Soap Dispenser - 500ml</c:v>
                </c:pt>
                <c:pt idx="65">
                  <c:v>Weighing Scale Digital Bathroom Body Fat Scale USB-Black</c:v>
                </c:pt>
                <c:pt idx="66">
                  <c:v>Desk Foldable Fan Adjustable Fan Strong Wind 3 Gear Usb</c:v>
                </c:pt>
                <c:pt idx="67">
                  <c:v>5m Waterproof Spherical LED String Lights Outdoor Ball Chain Lights Party Lighting Decoration Adjustable</c:v>
                </c:pt>
                <c:pt idx="68">
                  <c:v>Electronic Digital Display Vernier Caliper</c:v>
                </c:pt>
                <c:pt idx="69">
                  <c:v>LED Romantic Spaceship Starry Sky Projector,Children's Bedroom Night Light-Blue</c:v>
                </c:pt>
                <c:pt idx="70">
                  <c:v>Cartoon Embroidered Mini Towel Bear Cotton Wash Cloth Hand 4pcs</c:v>
                </c:pt>
                <c:pt idx="71">
                  <c:v>12 Litre Insulated Lunch Box Grey</c:v>
                </c:pt>
                <c:pt idx="72">
                  <c:v>LED Solar Street Light-fake Camera</c:v>
                </c:pt>
                <c:pt idx="73">
                  <c:v>100 Pcs Crochet Hook Tool Set Knitting Hook Set With Box</c:v>
                </c:pt>
                <c:pt idx="74">
                  <c:v>Multifunction Laser Level With Adjustment Tripod</c:v>
                </c:pt>
                <c:pt idx="75">
                  <c:v>60W Hot Melt Glue Sprayer - Efficient And Stable Glue Dispensing</c:v>
                </c:pt>
                <c:pt idx="76">
                  <c:v>12 Litre Black Insulated Lunch Box</c:v>
                </c:pt>
                <c:pt idx="77">
                  <c:v>52 Pieces Cake Decorating Tool Set Gift Kit Baking Supplies</c:v>
                </c:pt>
                <c:pt idx="78">
                  <c:v>Large Lazy Inflatable Sofa Chairs PVC Lounger Seat Bag</c:v>
                </c:pt>
                <c:pt idx="79">
                  <c:v>53Pcs/Set Yarn Knitting Crochet Hooks With Bag - Fortune Cat</c:v>
                </c:pt>
                <c:pt idx="80">
                  <c:v>12V 19500rpm Handheld Electric Angle Grinder Tool - UK - Yellow/Black</c:v>
                </c:pt>
                <c:pt idx="81">
                  <c:v>53 Pieces/Set Yarn Knitting Crochet Hooks With Bag - Pansies</c:v>
                </c:pt>
                <c:pt idx="82">
                  <c:v>Portable Home Small Air Humidifier 3-Speed Fan - Green</c:v>
                </c:pt>
                <c:pt idx="83">
                  <c:v>Portable Mini Cordless Car Vacuum Cleaner - Blue</c:v>
                </c:pt>
                <c:pt idx="84">
                  <c:v>1PC Refrigerator Food Seal Pocket Fridge Bags</c:v>
                </c:pt>
                <c:pt idx="85">
                  <c:v>137 Pieces Cake Decorating Tool Set Baking Supplies</c:v>
                </c:pt>
                <c:pt idx="86">
                  <c:v>Foldable Overbed Table/Desk</c:v>
                </c:pt>
                <c:pt idx="87">
                  <c:v>VIC Wireless Vacuum Cleaner Dual Use For Home And Car 120W High Power Powerful</c:v>
                </c:pt>
                <c:pt idx="88">
                  <c:v>Pilates Cloth Bag Waterproof Durable High Capacity Purple</c:v>
                </c:pt>
                <c:pt idx="89">
                  <c:v>Konka Healty Electric Kettle, 24-hour Heat Preservation,1.5L,800W, White</c:v>
                </c:pt>
                <c:pt idx="90">
                  <c:v>Genebre 115 In 1 Screwdriver Repairing Tool Set For IPhone Cellphone Hand Tool</c:v>
                </c:pt>
                <c:pt idx="91">
                  <c:v>LED Wall Digital Alarm Clock Study Home 12 / 24H Clock Calendar</c:v>
                </c:pt>
                <c:pt idx="92">
                  <c:v>Portable Wardrobe Nonwoven With 3 Hanging Rods And 6 Storage Shelves</c:v>
                </c:pt>
                <c:pt idx="93">
                  <c:v>Office Chair Lumbar Back Support Spine Posture Correction Pillow Car Cushion</c:v>
                </c:pt>
                <c:pt idx="94">
                  <c:v>Wall-Mounted Toothbrush Toothpaste Holder With Multiple Slots</c:v>
                </c:pt>
                <c:pt idx="95">
                  <c:v>5 Pieces/set Of Stainless Steel Induction Cooker Pots</c:v>
                </c:pt>
                <c:pt idx="96">
                  <c:v>Outdoor Portable Water Bottle With Medicine Box - 600ML - Black</c:v>
                </c:pt>
                <c:pt idx="97">
                  <c:v>220V 60W Electric Soldering Iron Kits With Tools, Tips, And Multimeter</c:v>
                </c:pt>
                <c:pt idx="98">
                  <c:v>Wall Mount Automatic Toothpaste Dispenser Toothbrush Holder Toothpaste Squeezer</c:v>
                </c:pt>
                <c:pt idx="99">
                  <c:v>Metal Wall Clock Silver Dial Crystal Jewelry Round Home Decoration Wall Clock</c:v>
                </c:pt>
                <c:pt idx="100">
                  <c:v>Cushion Silicone Butt Cushion Summer Ice Cushion Honeycomb Gel Cushion</c:v>
                </c:pt>
                <c:pt idx="101">
                  <c:v>Multi-purpose Rice Drainage Basket And Fruit And Vegetable Drainage Sieve</c:v>
                </c:pt>
                <c:pt idx="102">
                  <c:v>Shower Nozzle Cleaning Unclogging Needle Mini Crevice Small Hole Cleaning Brush</c:v>
                </c:pt>
                <c:pt idx="103">
                  <c:v>Shower Cap Wide Elastic Band Cover Reusable Bashroom Cap</c:v>
                </c:pt>
                <c:pt idx="104">
                  <c:v>Portable Soap Dispenser Kitchen Detergent Press Box Kitchen Tools</c:v>
                </c:pt>
                <c:pt idx="105">
                  <c:v>Thickening Multipurpose Non Stick Easy To Clean Heat Resistant Spoon Pad</c:v>
                </c:pt>
                <c:pt idx="106">
                  <c:v>Pen Grips For Kids Pen Grip Posture Correction Tool For Kids</c:v>
                </c:pt>
                <c:pt idx="107">
                  <c:v>2 Pairs Cowhide Split Leather Work Gloves.32â„‰ Or Above Welding Gloves</c:v>
                </c:pt>
                <c:pt idx="108">
                  <c:v>24 Grid Wall-mounted Sundries Organiser Fabric Closet Bag Storage Rack</c:v>
                </c:pt>
              </c:strCache>
            </c:strRef>
          </c:cat>
          <c:val>
            <c:numRef>
              <c:f>'Pivot Table'!$B$354:$B$463</c:f>
              <c:numCache>
                <c:formatCode>General</c:formatCode>
                <c:ptCount val="109"/>
                <c:pt idx="0">
                  <c:v>1.1000000000000001</c:v>
                </c:pt>
                <c:pt idx="1">
                  <c:v>1</c:v>
                </c:pt>
                <c:pt idx="2">
                  <c:v>0.98</c:v>
                </c:pt>
                <c:pt idx="3">
                  <c:v>0.64</c:v>
                </c:pt>
                <c:pt idx="4">
                  <c:v>0.55000000000000004</c:v>
                </c:pt>
                <c:pt idx="5">
                  <c:v>0.55000000000000004</c:v>
                </c:pt>
                <c:pt idx="6">
                  <c:v>0.54</c:v>
                </c:pt>
                <c:pt idx="7">
                  <c:v>0.54</c:v>
                </c:pt>
                <c:pt idx="8">
                  <c:v>0.53</c:v>
                </c:pt>
                <c:pt idx="9">
                  <c:v>0.53</c:v>
                </c:pt>
                <c:pt idx="10">
                  <c:v>0.52</c:v>
                </c:pt>
                <c:pt idx="11">
                  <c:v>0.52</c:v>
                </c:pt>
                <c:pt idx="12">
                  <c:v>0.51</c:v>
                </c:pt>
                <c:pt idx="13">
                  <c:v>0.5</c:v>
                </c:pt>
                <c:pt idx="14">
                  <c:v>0.5</c:v>
                </c:pt>
                <c:pt idx="15">
                  <c:v>0.5</c:v>
                </c:pt>
                <c:pt idx="16">
                  <c:v>0.5</c:v>
                </c:pt>
                <c:pt idx="17">
                  <c:v>0.5</c:v>
                </c:pt>
                <c:pt idx="18">
                  <c:v>0.5</c:v>
                </c:pt>
                <c:pt idx="19">
                  <c:v>0.5</c:v>
                </c:pt>
                <c:pt idx="20">
                  <c:v>0.49</c:v>
                </c:pt>
                <c:pt idx="21">
                  <c:v>0.49</c:v>
                </c:pt>
                <c:pt idx="22">
                  <c:v>0.49</c:v>
                </c:pt>
                <c:pt idx="23">
                  <c:v>0.49</c:v>
                </c:pt>
                <c:pt idx="24">
                  <c:v>0.49</c:v>
                </c:pt>
                <c:pt idx="25">
                  <c:v>0.49</c:v>
                </c:pt>
                <c:pt idx="26">
                  <c:v>0.49</c:v>
                </c:pt>
                <c:pt idx="27">
                  <c:v>0.49</c:v>
                </c:pt>
                <c:pt idx="28">
                  <c:v>0.49</c:v>
                </c:pt>
                <c:pt idx="29">
                  <c:v>0.49</c:v>
                </c:pt>
                <c:pt idx="30">
                  <c:v>0.49</c:v>
                </c:pt>
                <c:pt idx="31">
                  <c:v>0.48</c:v>
                </c:pt>
                <c:pt idx="32">
                  <c:v>0.48</c:v>
                </c:pt>
                <c:pt idx="33">
                  <c:v>0.48</c:v>
                </c:pt>
                <c:pt idx="34">
                  <c:v>0.48</c:v>
                </c:pt>
                <c:pt idx="35">
                  <c:v>0.47</c:v>
                </c:pt>
                <c:pt idx="36">
                  <c:v>0.47</c:v>
                </c:pt>
                <c:pt idx="37">
                  <c:v>0.47</c:v>
                </c:pt>
                <c:pt idx="38">
                  <c:v>0.47</c:v>
                </c:pt>
                <c:pt idx="39">
                  <c:v>0.47</c:v>
                </c:pt>
                <c:pt idx="40">
                  <c:v>0.47</c:v>
                </c:pt>
                <c:pt idx="41">
                  <c:v>0.47</c:v>
                </c:pt>
                <c:pt idx="42">
                  <c:v>0.46</c:v>
                </c:pt>
                <c:pt idx="43">
                  <c:v>0.46</c:v>
                </c:pt>
                <c:pt idx="44">
                  <c:v>0.46</c:v>
                </c:pt>
                <c:pt idx="45">
                  <c:v>0.45</c:v>
                </c:pt>
                <c:pt idx="46">
                  <c:v>0.45</c:v>
                </c:pt>
                <c:pt idx="47">
                  <c:v>0.45</c:v>
                </c:pt>
                <c:pt idx="48">
                  <c:v>0.43</c:v>
                </c:pt>
                <c:pt idx="49">
                  <c:v>0.43</c:v>
                </c:pt>
                <c:pt idx="50">
                  <c:v>0.43</c:v>
                </c:pt>
                <c:pt idx="51">
                  <c:v>0.43</c:v>
                </c:pt>
                <c:pt idx="52">
                  <c:v>0.42</c:v>
                </c:pt>
                <c:pt idx="53">
                  <c:v>0.42</c:v>
                </c:pt>
                <c:pt idx="54">
                  <c:v>0.42</c:v>
                </c:pt>
                <c:pt idx="55">
                  <c:v>0.42</c:v>
                </c:pt>
                <c:pt idx="56">
                  <c:v>0.41</c:v>
                </c:pt>
                <c:pt idx="57">
                  <c:v>0.41</c:v>
                </c:pt>
                <c:pt idx="58">
                  <c:v>0.41</c:v>
                </c:pt>
                <c:pt idx="59">
                  <c:v>0.4</c:v>
                </c:pt>
                <c:pt idx="60">
                  <c:v>0.39</c:v>
                </c:pt>
                <c:pt idx="61">
                  <c:v>0.38</c:v>
                </c:pt>
                <c:pt idx="62">
                  <c:v>0.38</c:v>
                </c:pt>
                <c:pt idx="63">
                  <c:v>0.38</c:v>
                </c:pt>
                <c:pt idx="64">
                  <c:v>0.38</c:v>
                </c:pt>
                <c:pt idx="65">
                  <c:v>0.37</c:v>
                </c:pt>
                <c:pt idx="66">
                  <c:v>0.37</c:v>
                </c:pt>
                <c:pt idx="67">
                  <c:v>0.36</c:v>
                </c:pt>
                <c:pt idx="68">
                  <c:v>0.35</c:v>
                </c:pt>
                <c:pt idx="69">
                  <c:v>0.35</c:v>
                </c:pt>
                <c:pt idx="70">
                  <c:v>0.34</c:v>
                </c:pt>
                <c:pt idx="71">
                  <c:v>0.34</c:v>
                </c:pt>
                <c:pt idx="72">
                  <c:v>0.34</c:v>
                </c:pt>
                <c:pt idx="73">
                  <c:v>0.34</c:v>
                </c:pt>
                <c:pt idx="74">
                  <c:v>0.33</c:v>
                </c:pt>
                <c:pt idx="75">
                  <c:v>0.33</c:v>
                </c:pt>
                <c:pt idx="76">
                  <c:v>0.32</c:v>
                </c:pt>
                <c:pt idx="77">
                  <c:v>0.3</c:v>
                </c:pt>
                <c:pt idx="78">
                  <c:v>0.28999999999999998</c:v>
                </c:pt>
                <c:pt idx="79">
                  <c:v>0.27</c:v>
                </c:pt>
                <c:pt idx="80">
                  <c:v>0.27</c:v>
                </c:pt>
                <c:pt idx="81">
                  <c:v>0.27</c:v>
                </c:pt>
                <c:pt idx="82">
                  <c:v>0.26</c:v>
                </c:pt>
                <c:pt idx="83">
                  <c:v>0.25</c:v>
                </c:pt>
                <c:pt idx="84">
                  <c:v>0.24</c:v>
                </c:pt>
                <c:pt idx="85">
                  <c:v>0.24</c:v>
                </c:pt>
                <c:pt idx="86">
                  <c:v>0.23</c:v>
                </c:pt>
                <c:pt idx="87">
                  <c:v>0.22</c:v>
                </c:pt>
                <c:pt idx="88">
                  <c:v>0.22</c:v>
                </c:pt>
                <c:pt idx="89">
                  <c:v>0.21</c:v>
                </c:pt>
                <c:pt idx="90">
                  <c:v>0.2</c:v>
                </c:pt>
                <c:pt idx="91">
                  <c:v>0.19</c:v>
                </c:pt>
                <c:pt idx="92">
                  <c:v>0.18</c:v>
                </c:pt>
                <c:pt idx="93">
                  <c:v>0.14000000000000001</c:v>
                </c:pt>
                <c:pt idx="94">
                  <c:v>0.14000000000000001</c:v>
                </c:pt>
                <c:pt idx="95">
                  <c:v>0.13</c:v>
                </c:pt>
                <c:pt idx="96">
                  <c:v>0.11</c:v>
                </c:pt>
                <c:pt idx="97">
                  <c:v>0.09</c:v>
                </c:pt>
                <c:pt idx="98">
                  <c:v>0.08</c:v>
                </c:pt>
                <c:pt idx="99">
                  <c:v>0.04</c:v>
                </c:pt>
                <c:pt idx="100">
                  <c:v>0.04</c:v>
                </c:pt>
                <c:pt idx="101">
                  <c:v>0.03</c:v>
                </c:pt>
                <c:pt idx="102">
                  <c:v>0.02</c:v>
                </c:pt>
                <c:pt idx="103">
                  <c:v>0.02</c:v>
                </c:pt>
                <c:pt idx="104">
                  <c:v>0.02</c:v>
                </c:pt>
                <c:pt idx="105">
                  <c:v>0.02</c:v>
                </c:pt>
                <c:pt idx="106">
                  <c:v>0.02</c:v>
                </c:pt>
                <c:pt idx="107">
                  <c:v>0.02</c:v>
                </c:pt>
                <c:pt idx="108">
                  <c:v>0.01</c:v>
                </c:pt>
              </c:numCache>
            </c:numRef>
          </c:val>
          <c:extLst>
            <c:ext xmlns:c16="http://schemas.microsoft.com/office/drawing/2014/chart" uri="{C3380CC4-5D6E-409C-BE32-E72D297353CC}">
              <c16:uniqueId val="{00000000-B77F-4BF0-80CF-761A72BA8A4B}"/>
            </c:ext>
          </c:extLst>
        </c:ser>
        <c:dLbls>
          <c:showLegendKey val="0"/>
          <c:showVal val="0"/>
          <c:showCatName val="0"/>
          <c:showSerName val="0"/>
          <c:showPercent val="0"/>
          <c:showBubbleSize val="0"/>
        </c:dLbls>
        <c:axId val="548624440"/>
        <c:axId val="548622472"/>
      </c:areaChart>
      <c:catAx>
        <c:axId val="548624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8622472"/>
        <c:crosses val="autoZero"/>
        <c:auto val="1"/>
        <c:lblAlgn val="ctr"/>
        <c:lblOffset val="100"/>
        <c:noMultiLvlLbl val="0"/>
      </c:catAx>
      <c:valAx>
        <c:axId val="548622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8624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Dataset - Excel.xlsx]Pivot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effectLst/>
                <a:latin typeface="Book Antiqua" panose="02040602050305030304" pitchFamily="18" charset="0"/>
              </a:rPr>
              <a:t>RELATIONSHIP BETWEEN DISCOUNT PERCENTAGE AND REVIEWS, AND BETWEEN RATING AND REVIEWS</a:t>
            </a:r>
            <a:endParaRPr lang="en-US" sz="1200">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Table'!$B$467</c:f>
              <c:strCache>
                <c:ptCount val="1"/>
                <c:pt idx="0">
                  <c:v>Count of Product</c:v>
                </c:pt>
              </c:strCache>
            </c:strRef>
          </c:tx>
          <c:spPr>
            <a:solidFill>
              <a:schemeClr val="accent1"/>
            </a:solidFill>
            <a:ln>
              <a:noFill/>
            </a:ln>
            <a:effectLst/>
          </c:spPr>
          <c:invertIfNegative val="0"/>
          <c:cat>
            <c:strRef>
              <c:f>'Pivot Table'!$A$468:$A$471</c:f>
              <c:strCache>
                <c:ptCount val="3"/>
                <c:pt idx="0">
                  <c:v>High Discount</c:v>
                </c:pt>
                <c:pt idx="1">
                  <c:v>Low Discount</c:v>
                </c:pt>
                <c:pt idx="2">
                  <c:v>Medium Discount</c:v>
                </c:pt>
              </c:strCache>
            </c:strRef>
          </c:cat>
          <c:val>
            <c:numRef>
              <c:f>'Pivot Table'!$B$468:$B$471</c:f>
              <c:numCache>
                <c:formatCode>General</c:formatCode>
                <c:ptCount val="3"/>
                <c:pt idx="0">
                  <c:v>62</c:v>
                </c:pt>
                <c:pt idx="1">
                  <c:v>49</c:v>
                </c:pt>
                <c:pt idx="2">
                  <c:v>1</c:v>
                </c:pt>
              </c:numCache>
            </c:numRef>
          </c:val>
          <c:extLst>
            <c:ext xmlns:c16="http://schemas.microsoft.com/office/drawing/2014/chart" uri="{C3380CC4-5D6E-409C-BE32-E72D297353CC}">
              <c16:uniqueId val="{00000000-9E0C-4193-826D-AB2071AE7436}"/>
            </c:ext>
          </c:extLst>
        </c:ser>
        <c:ser>
          <c:idx val="1"/>
          <c:order val="1"/>
          <c:tx>
            <c:strRef>
              <c:f>'Pivot Table'!$C$467</c:f>
              <c:strCache>
                <c:ptCount val="1"/>
                <c:pt idx="0">
                  <c:v>Sum of Rating</c:v>
                </c:pt>
              </c:strCache>
            </c:strRef>
          </c:tx>
          <c:spPr>
            <a:solidFill>
              <a:schemeClr val="accent2"/>
            </a:solidFill>
            <a:ln>
              <a:noFill/>
            </a:ln>
            <a:effectLst/>
          </c:spPr>
          <c:invertIfNegative val="0"/>
          <c:cat>
            <c:strRef>
              <c:f>'Pivot Table'!$A$468:$A$471</c:f>
              <c:strCache>
                <c:ptCount val="3"/>
                <c:pt idx="0">
                  <c:v>High Discount</c:v>
                </c:pt>
                <c:pt idx="1">
                  <c:v>Low Discount</c:v>
                </c:pt>
                <c:pt idx="2">
                  <c:v>Medium Discount</c:v>
                </c:pt>
              </c:strCache>
            </c:strRef>
          </c:cat>
          <c:val>
            <c:numRef>
              <c:f>'Pivot Table'!$C$468:$C$471</c:f>
              <c:numCache>
                <c:formatCode>General</c:formatCode>
                <c:ptCount val="3"/>
                <c:pt idx="0">
                  <c:v>108.39999999999998</c:v>
                </c:pt>
                <c:pt idx="1">
                  <c:v>108.30000000000001</c:v>
                </c:pt>
                <c:pt idx="2">
                  <c:v>5</c:v>
                </c:pt>
              </c:numCache>
            </c:numRef>
          </c:val>
          <c:extLst>
            <c:ext xmlns:c16="http://schemas.microsoft.com/office/drawing/2014/chart" uri="{C3380CC4-5D6E-409C-BE32-E72D297353CC}">
              <c16:uniqueId val="{00000001-9E0C-4193-826D-AB2071AE7436}"/>
            </c:ext>
          </c:extLst>
        </c:ser>
        <c:ser>
          <c:idx val="2"/>
          <c:order val="2"/>
          <c:tx>
            <c:strRef>
              <c:f>'Pivot Table'!$D$467</c:f>
              <c:strCache>
                <c:ptCount val="1"/>
                <c:pt idx="0">
                  <c:v>Count of Products rating</c:v>
                </c:pt>
              </c:strCache>
            </c:strRef>
          </c:tx>
          <c:spPr>
            <a:solidFill>
              <a:schemeClr val="accent3"/>
            </a:solidFill>
            <a:ln>
              <a:noFill/>
            </a:ln>
            <a:effectLst/>
          </c:spPr>
          <c:invertIfNegative val="0"/>
          <c:cat>
            <c:strRef>
              <c:f>'Pivot Table'!$A$468:$A$471</c:f>
              <c:strCache>
                <c:ptCount val="3"/>
                <c:pt idx="0">
                  <c:v>High Discount</c:v>
                </c:pt>
                <c:pt idx="1">
                  <c:v>Low Discount</c:v>
                </c:pt>
                <c:pt idx="2">
                  <c:v>Medium Discount</c:v>
                </c:pt>
              </c:strCache>
            </c:strRef>
          </c:cat>
          <c:val>
            <c:numRef>
              <c:f>'Pivot Table'!$D$468:$D$471</c:f>
              <c:numCache>
                <c:formatCode>General</c:formatCode>
                <c:ptCount val="3"/>
                <c:pt idx="0">
                  <c:v>62</c:v>
                </c:pt>
                <c:pt idx="1">
                  <c:v>49</c:v>
                </c:pt>
                <c:pt idx="2">
                  <c:v>1</c:v>
                </c:pt>
              </c:numCache>
            </c:numRef>
          </c:val>
          <c:extLst>
            <c:ext xmlns:c16="http://schemas.microsoft.com/office/drawing/2014/chart" uri="{C3380CC4-5D6E-409C-BE32-E72D297353CC}">
              <c16:uniqueId val="{00000002-9E0C-4193-826D-AB2071AE7436}"/>
            </c:ext>
          </c:extLst>
        </c:ser>
        <c:dLbls>
          <c:showLegendKey val="0"/>
          <c:showVal val="0"/>
          <c:showCatName val="0"/>
          <c:showSerName val="0"/>
          <c:showPercent val="0"/>
          <c:showBubbleSize val="0"/>
        </c:dLbls>
        <c:gapWidth val="219"/>
        <c:overlap val="-27"/>
        <c:axId val="585161544"/>
        <c:axId val="585159576"/>
      </c:barChart>
      <c:catAx>
        <c:axId val="58516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5159576"/>
        <c:crosses val="autoZero"/>
        <c:auto val="1"/>
        <c:lblAlgn val="ctr"/>
        <c:lblOffset val="100"/>
        <c:noMultiLvlLbl val="0"/>
      </c:catAx>
      <c:valAx>
        <c:axId val="585159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5161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Book Antiqua" panose="02040602050305030304" pitchFamily="18" charset="0"/>
              </a:rPr>
              <a:t>MOST EXPENSIVE AND LEAST EXPENSIVE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bar"/>
        <c:grouping val="clustered"/>
        <c:varyColors val="0"/>
        <c:ser>
          <c:idx val="0"/>
          <c:order val="0"/>
          <c:tx>
            <c:strRef>
              <c:f>'Descriptive Statistics 1.2'!$B$1</c:f>
              <c:strCache>
                <c:ptCount val="1"/>
                <c:pt idx="0">
                  <c:v>Current price</c:v>
                </c:pt>
              </c:strCache>
            </c:strRef>
          </c:tx>
          <c:spPr>
            <a:solidFill>
              <a:schemeClr val="accent1"/>
            </a:solidFill>
            <a:ln>
              <a:noFill/>
            </a:ln>
            <a:effectLst/>
          </c:spPr>
          <c:invertIfNegative val="0"/>
          <c:cat>
            <c:strRef>
              <c:f>'Descriptive Statistics 1.2'!$A$2:$A$113</c:f>
              <c:strCache>
                <c:ptCount val="112"/>
                <c:pt idx="0">
                  <c:v>3PCS Single Head Knitting Crochet Sweater Needle Set</c:v>
                </c:pt>
                <c:pt idx="1">
                  <c:v>Sewing Machine Needle Threader Stitch Insertion Tool Automatic Quick Sewing</c:v>
                </c:pt>
                <c:pt idx="2">
                  <c:v>Black Simple Water Cup Wine Coaster Anti Slip Absorbent</c:v>
                </c:pt>
                <c:pt idx="3">
                  <c:v>Classic Black Cat Cotton Hemp Pillow Case For Home Car</c:v>
                </c:pt>
                <c:pt idx="4">
                  <c:v>Creative Owl Shape Keychain Black</c:v>
                </c:pt>
                <c:pt idx="5">
                  <c:v>1/2/3 Seater Elastic Sofa Cover,Living Room/Home Decor Chair Cover-Grey</c:v>
                </c:pt>
                <c:pt idx="6">
                  <c:v>Exfoliate And Exfoliate Face Towel - Black</c:v>
                </c:pt>
                <c:pt idx="7">
                  <c:v>Peacock  Throw Pillow Cushion Case For Home Car</c:v>
                </c:pt>
                <c:pt idx="8">
                  <c:v>1PC Refrigerator Food Seal Pocket Fridge Bags</c:v>
                </c:pt>
                <c:pt idx="9">
                  <c:v>Creative Owl Shape Keychain Black</c:v>
                </c:pt>
                <c:pt idx="10">
                  <c:v>6 In 1 Bottle Can Opener Multifunctional Easy Opener</c:v>
                </c:pt>
                <c:pt idx="11">
                  <c:v>7PCS Silicone Thumb Knife Finger Protector Vegetable Harvesting Knife</c:v>
                </c:pt>
                <c:pt idx="12">
                  <c:v>Modern Sofa Throw Pillow Cover-45x45cm-Blue&amp;Red</c:v>
                </c:pt>
                <c:pt idx="13">
                  <c:v>4 Piece Coloured Stainless Steel Kitchenware Set</c:v>
                </c:pt>
                <c:pt idx="14">
                  <c:v>Cartoon Car Decoration Cute Individuality For Car Home Desk</c:v>
                </c:pt>
                <c:pt idx="15">
                  <c:v>Brush &amp; Paintbrush Cleaning Tool Pink</c:v>
                </c:pt>
                <c:pt idx="16">
                  <c:v>Pilates Cloth Bag Waterproof Durable High Capacity Purple</c:v>
                </c:pt>
                <c:pt idx="17">
                  <c:v>Intelligent  LED Body Sensor Wireless Lighting Night Light USB</c:v>
                </c:pt>
                <c:pt idx="18">
                  <c:v>Household Pineapple Peeler Peeler</c:v>
                </c:pt>
                <c:pt idx="19">
                  <c:v>Anti-Skid Absorbent Insulation Coaster  For Home Office</c:v>
                </c:pt>
                <c:pt idx="20">
                  <c:v>Watercolour Gold Foil Textured Print Pillow Cover</c:v>
                </c:pt>
                <c:pt idx="21">
                  <c:v>Agapeon Toothbrush Holder And Toothpaste Dispenser</c:v>
                </c:pt>
                <c:pt idx="22">
                  <c:v>Punch-free Great Load Bearing Bathroom Storage Rack Wall Shelf-White</c:v>
                </c:pt>
                <c:pt idx="23">
                  <c:v>Simple Metal Dog Art Sculpture Decoration For Home Office</c:v>
                </c:pt>
                <c:pt idx="24">
                  <c:v>Electronic Digital Display Vernier Caliper</c:v>
                </c:pt>
                <c:pt idx="25">
                  <c:v>120W Cordless Vacuum Cleaners Handheld Electric Vacuum Cleaner</c:v>
                </c:pt>
                <c:pt idx="26">
                  <c:v>Wall-mounted Sticker Punch-free Plug Fixer</c:v>
                </c:pt>
                <c:pt idx="27">
                  <c:v>Mythco 120COB Solar Wall Ligt With Motion Sensor And Remote Control 3 Modes</c:v>
                </c:pt>
                <c:pt idx="28">
                  <c:v>4M Float Switch Water Level Controller -Water Tank</c:v>
                </c:pt>
                <c:pt idx="29">
                  <c:v>Simple Metal Dog Art Sculpture Decoration For Home Office</c:v>
                </c:pt>
                <c:pt idx="30">
                  <c:v>LASA Digital Thermometer And Hydrometer</c:v>
                </c:pt>
                <c:pt idx="31">
                  <c:v>Wrought Iron Bathroom Shelf Wall Mounted Free Punch Toilet Rack</c:v>
                </c:pt>
                <c:pt idx="32">
                  <c:v>Baby Early Education Shape And Color Cognitive Training Toys</c:v>
                </c:pt>
                <c:pt idx="33">
                  <c:v>Metal Decorative Hooks Key Hangers Entryway Wall Hooks Towel Hooks - Home</c:v>
                </c:pt>
                <c:pt idx="34">
                  <c:v>40cm Gold DIY Acrylic Wall Sticker Clock</c:v>
                </c:pt>
                <c:pt idx="35">
                  <c:v>Balloon Insert, Birthday Party Balloon Set, PU Leather</c:v>
                </c:pt>
                <c:pt idx="36">
                  <c:v>Multifunctional Hanging Storage Box Storage Bag (4 Layers)</c:v>
                </c:pt>
                <c:pt idx="37">
                  <c:v>Angle Measuring Tool Full Metal Multi Angle Measuring Tool</c:v>
                </c:pt>
                <c:pt idx="38">
                  <c:v>Car Phone Charging Stand</c:v>
                </c:pt>
                <c:pt idx="39">
                  <c:v>3PCS Rotary Scraper Thermomix For Kitchen</c:v>
                </c:pt>
                <c:pt idx="40">
                  <c:v>Christmas Fence Garden Decorations Outdoor For Holiday Home</c:v>
                </c:pt>
                <c:pt idx="41">
                  <c:v>2PCS/LOT Solar LED Outdoor Intelligent Light Controlled Wall Lamp</c:v>
                </c:pt>
                <c:pt idx="42">
                  <c:v>Genebre 115 In 1 Screwdriver Repairing Tool Set For IPhone Cellphone Hand Tool</c:v>
                </c:pt>
                <c:pt idx="43">
                  <c:v>Cute Christmas Fence Garden Decorations For Holiday Home</c:v>
                </c:pt>
                <c:pt idx="44">
                  <c:v>Angle Measuring Tool Full Metal Multi Angle Measuring Tool</c:v>
                </c:pt>
                <c:pt idx="45">
                  <c:v>Outdoor Portable Water Bottle With Medicine Box - 600ML - Black</c:v>
                </c:pt>
                <c:pt idx="46">
                  <c:v>Wall Clock With Hidden Safe Box</c:v>
                </c:pt>
                <c:pt idx="47">
                  <c:v>LED Romantic Spaceship Starry Sky Projector,Children's Bedroom Night Light-Blue</c:v>
                </c:pt>
                <c:pt idx="48">
                  <c:v>6 Layers Steel Pipe Assembling Dustproof Storage Shoe Cabinet</c:v>
                </c:pt>
                <c:pt idx="49">
                  <c:v>115  Piece Set Of Multifunctional Precision Screwdrivers</c:v>
                </c:pt>
                <c:pt idx="50">
                  <c:v>7-piece Set Of Storage Bags, Travel Storage Bags, Shoe Bags</c:v>
                </c:pt>
                <c:pt idx="51">
                  <c:v>Bedroom Simple Floor Hanging Clothes Rack Single Pole Hat Rack - White</c:v>
                </c:pt>
                <c:pt idx="52">
                  <c:v>12 Litre Insulated Lunch Box Grey</c:v>
                </c:pt>
                <c:pt idx="53">
                  <c:v>Desk Foldable Fan Adjustable Fan Strong Wind 3 Gear Usb</c:v>
                </c:pt>
                <c:pt idx="54">
                  <c:v>100 Pcs Crochet Hook Tool Set Knitting Hook Set With Box</c:v>
                </c:pt>
                <c:pt idx="55">
                  <c:v>Artificial Potted Flowers Room Decorative Flowers (2 Pieces)</c:v>
                </c:pt>
                <c:pt idx="56">
                  <c:v>3D Waterproof EVA Plastic Shower Curtain 1.8*2Mtrs</c:v>
                </c:pt>
                <c:pt idx="57">
                  <c:v>Christmas Elk Fence Yard Lawn Decorations Cute For Holidays</c:v>
                </c:pt>
                <c:pt idx="58">
                  <c:v>380ML USB Rechargeable Portable Small Blenders And Juicers</c:v>
                </c:pt>
                <c:pt idx="59">
                  <c:v>8in1 Screwdriver With LED Light</c:v>
                </c:pt>
                <c:pt idx="60">
                  <c:v>LED Solar Street Light-fake Camera</c:v>
                </c:pt>
                <c:pt idx="61">
                  <c:v>Memory Foam Neck Pillow Cover, With Pillow Core - 50*30cm</c:v>
                </c:pt>
                <c:pt idx="62">
                  <c:v>60W Hot Melt Glue Sprayer - Efficient And Stable Glue Dispensing</c:v>
                </c:pt>
                <c:pt idx="63">
                  <c:v>Cartoon Embroidered Mini Towel Bear Cotton Wash Cloth Hand 4pcs</c:v>
                </c:pt>
                <c:pt idx="64">
                  <c:v>2pcs Solar Street Light Flood Light Outdoor</c:v>
                </c:pt>
                <c:pt idx="65">
                  <c:v>2PCS Ice Silk Square Cushion Cover Pillowcases - 65x65cm</c:v>
                </c:pt>
                <c:pt idx="66">
                  <c:v>VIC Wireless Vacuum Cleaner Dual Use For Home And Car 120W High Power Powerful</c:v>
                </c:pt>
                <c:pt idx="67">
                  <c:v>LASA FOLDING TABLE SERVING STAND</c:v>
                </c:pt>
                <c:pt idx="68">
                  <c:v>Portable Wine Table With Folding Round Table</c:v>
                </c:pt>
                <c:pt idx="69">
                  <c:v>12 Litre Black Insulated Lunch Box</c:v>
                </c:pt>
                <c:pt idx="70">
                  <c:v>9pcs Gas Mask, For Painting, Dust, Formaldehyde Grinding, Polishing</c:v>
                </c:pt>
                <c:pt idx="71">
                  <c:v>Multi-purpose Rice Drainage Basket And Fruit And Vegetable Drainage Sieve</c:v>
                </c:pt>
                <c:pt idx="72">
                  <c:v>5m Waterproof Spherical LED String Lights Outdoor Ball Chain Lights Party Lighting Decoration Adjustable</c:v>
                </c:pt>
                <c:pt idx="73">
                  <c:v>Portable Soap Dispenser Kitchen Detergent Press Box Kitchen Tools</c:v>
                </c:pt>
                <c:pt idx="74">
                  <c:v>Office Chair Lumbar Back Support Spine Posture Correction Pillow Car Cushion</c:v>
                </c:pt>
                <c:pt idx="75">
                  <c:v>Wall-Mounted Toothbrush Toothpaste Holder With Multiple Slots</c:v>
                </c:pt>
                <c:pt idx="76">
                  <c:v>Wall Mount Automatic Toothpaste Dispenser Toothbrush Holder Toothpaste Squeezer</c:v>
                </c:pt>
                <c:pt idx="77">
                  <c:v>Electric LED UV Mosquito Killer Lamp, Outdoor/Indoor Fly Killer Trap Light -USB</c:v>
                </c:pt>
                <c:pt idx="78">
                  <c:v>Weighing Scale Digital Bathroom Body Fat Scale USB-Black</c:v>
                </c:pt>
                <c:pt idx="79">
                  <c:v>13 In 1 Home Repair Tools Box Kit Set</c:v>
                </c:pt>
                <c:pt idx="80">
                  <c:v>DIY File Folder, Office Drawer File Holder, Pen Holder, Desktop Storage Rack</c:v>
                </c:pt>
                <c:pt idx="81">
                  <c:v>Foldable Overbed Table/Desk</c:v>
                </c:pt>
                <c:pt idx="82">
                  <c:v>Shower Nozzle Cleaning Unclogging Needle Mini Crevice Small Hole Cleaning Brush</c:v>
                </c:pt>
                <c:pt idx="83">
                  <c:v>Pen Grips For Kids Pen Grip Posture Correction Tool For Kids</c:v>
                </c:pt>
                <c:pt idx="84">
                  <c:v>2 Pairs Cowhide Split Leather Work Gloves.32â„‰ Or Above Welding Gloves</c:v>
                </c:pt>
                <c:pt idx="85">
                  <c:v>Multifunction Laser Level With Adjustment Tripod</c:v>
                </c:pt>
                <c:pt idx="86">
                  <c:v>Cushion Silicone Butt Cushion Summer Ice Cushion Honeycomb Gel Cushion</c:v>
                </c:pt>
                <c:pt idx="87">
                  <c:v>Portable Home Small Air Humidifier 3-Speed Fan - Green</c:v>
                </c:pt>
                <c:pt idx="88">
                  <c:v>52 Pieces Cake Decorating Tool Set Gift Kit Baking Supplies</c:v>
                </c:pt>
                <c:pt idx="89">
                  <c:v>Thickening Multipurpose Non Stick Easy To Clean Heat Resistant Spoon Pad</c:v>
                </c:pt>
                <c:pt idx="90">
                  <c:v>LED Eye Protection  Desk Lamp , Study, Reading, USB Fan - Double Pen Holder</c:v>
                </c:pt>
                <c:pt idx="91">
                  <c:v>4pcs Bathroom/Kitchen Towel Rack,Roll Paper Holder,Towel Bars,Hook</c:v>
                </c:pt>
                <c:pt idx="92">
                  <c:v>24 Grid Wall-mounted Sundries Organiser Fabric Closet Bag Storage Rack</c:v>
                </c:pt>
                <c:pt idx="93">
                  <c:v>53Pcs/Set Yarn Knitting Crochet Hooks With Bag - Fortune Cat</c:v>
                </c:pt>
                <c:pt idx="94">
                  <c:v>53 Pieces/Set Yarn Knitting Crochet Hooks With Bag - Pansies</c:v>
                </c:pt>
                <c:pt idx="95">
                  <c:v>LASA Aluminum Folding Truck Hand Cart - 68kg Max</c:v>
                </c:pt>
                <c:pt idx="96">
                  <c:v>LASA 3 Tier Bamboo Shoe Bench Storage Shelf</c:v>
                </c:pt>
                <c:pt idx="97">
                  <c:v>5-PCS Stainless Steel Cooking Pot Set With Steamed Slices</c:v>
                </c:pt>
                <c:pt idx="98">
                  <c:v>Shower Cap Wide Elastic Band Cover Reusable Bashroom Cap</c:v>
                </c:pt>
                <c:pt idx="99">
                  <c:v>5 Pieces/set Of Stainless Steel Induction Cooker Pots</c:v>
                </c:pt>
                <c:pt idx="100">
                  <c:v>Portable Mini Cordless Car Vacuum Cleaner - Blue</c:v>
                </c:pt>
                <c:pt idx="101">
                  <c:v>MultiFunctional Storage Rack Multi-layer Bookshelf</c:v>
                </c:pt>
                <c:pt idx="102">
                  <c:v>Large Lazy Inflatable Sofa Chairs PVC Lounger Seat Bag</c:v>
                </c:pt>
                <c:pt idx="103">
                  <c:v>137 Pieces Cake Decorating Tool Set Baking Supplies</c:v>
                </c:pt>
                <c:pt idx="104">
                  <c:v>LASA Stainless Steel Double Wall Mount Soap Dispenser - 500ml</c:v>
                </c:pt>
                <c:pt idx="105">
                  <c:v>12V 19500rpm Handheld Electric Angle Grinder Tool - UK - Yellow/Black</c:v>
                </c:pt>
                <c:pt idx="106">
                  <c:v>Portable Wardrobe Nonwoven With 3 Hanging Rods And 6 Storage Shelves</c:v>
                </c:pt>
                <c:pt idx="107">
                  <c:v>220V 60W Electric Soldering Iron Kits With Tools, Tips, And Multimeter</c:v>
                </c:pt>
                <c:pt idx="108">
                  <c:v>LED Wall Digital Alarm Clock Study Home 12 / 24H Clock Calendar</c:v>
                </c:pt>
                <c:pt idx="109">
                  <c:v>Metal Wall Clock Silver Dial Crystal Jewelry Round Home Decoration Wall Clock</c:v>
                </c:pt>
                <c:pt idx="110">
                  <c:v>Konka Healty Electric Kettle, 24-hour Heat Preservation,1.5L,800W, White</c:v>
                </c:pt>
                <c:pt idx="111">
                  <c:v>32PCS Portable Cordless Drill Set With Cyclic Battery Drive -26 Variable Speed</c:v>
                </c:pt>
              </c:strCache>
            </c:strRef>
          </c:cat>
          <c:val>
            <c:numRef>
              <c:f>'Descriptive Statistics 1.2'!$B$2:$B$113</c:f>
              <c:numCache>
                <c:formatCode>0.00</c:formatCode>
                <c:ptCount val="112"/>
                <c:pt idx="0">
                  <c:v>38</c:v>
                </c:pt>
                <c:pt idx="1">
                  <c:v>105</c:v>
                </c:pt>
                <c:pt idx="2">
                  <c:v>169</c:v>
                </c:pt>
                <c:pt idx="3">
                  <c:v>171</c:v>
                </c:pt>
                <c:pt idx="4">
                  <c:v>176</c:v>
                </c:pt>
                <c:pt idx="5">
                  <c:v>180</c:v>
                </c:pt>
                <c:pt idx="6">
                  <c:v>185</c:v>
                </c:pt>
                <c:pt idx="7">
                  <c:v>195</c:v>
                </c:pt>
                <c:pt idx="8">
                  <c:v>198</c:v>
                </c:pt>
                <c:pt idx="9">
                  <c:v>199</c:v>
                </c:pt>
                <c:pt idx="10">
                  <c:v>199</c:v>
                </c:pt>
                <c:pt idx="11">
                  <c:v>230</c:v>
                </c:pt>
                <c:pt idx="12">
                  <c:v>238</c:v>
                </c:pt>
                <c:pt idx="13">
                  <c:v>248</c:v>
                </c:pt>
                <c:pt idx="14">
                  <c:v>274</c:v>
                </c:pt>
                <c:pt idx="15">
                  <c:v>299</c:v>
                </c:pt>
                <c:pt idx="16">
                  <c:v>299</c:v>
                </c:pt>
                <c:pt idx="17">
                  <c:v>325</c:v>
                </c:pt>
                <c:pt idx="18">
                  <c:v>330</c:v>
                </c:pt>
                <c:pt idx="19">
                  <c:v>332</c:v>
                </c:pt>
                <c:pt idx="20">
                  <c:v>345</c:v>
                </c:pt>
                <c:pt idx="21">
                  <c:v>382</c:v>
                </c:pt>
                <c:pt idx="22">
                  <c:v>389</c:v>
                </c:pt>
                <c:pt idx="23">
                  <c:v>399</c:v>
                </c:pt>
                <c:pt idx="24">
                  <c:v>420</c:v>
                </c:pt>
                <c:pt idx="25">
                  <c:v>445</c:v>
                </c:pt>
                <c:pt idx="26">
                  <c:v>450</c:v>
                </c:pt>
                <c:pt idx="27">
                  <c:v>458</c:v>
                </c:pt>
                <c:pt idx="28">
                  <c:v>475</c:v>
                </c:pt>
                <c:pt idx="29">
                  <c:v>499</c:v>
                </c:pt>
                <c:pt idx="30">
                  <c:v>501</c:v>
                </c:pt>
                <c:pt idx="31">
                  <c:v>509</c:v>
                </c:pt>
                <c:pt idx="32">
                  <c:v>525</c:v>
                </c:pt>
                <c:pt idx="33">
                  <c:v>527</c:v>
                </c:pt>
                <c:pt idx="34">
                  <c:v>552</c:v>
                </c:pt>
                <c:pt idx="35">
                  <c:v>610</c:v>
                </c:pt>
                <c:pt idx="36">
                  <c:v>630</c:v>
                </c:pt>
                <c:pt idx="37">
                  <c:v>657</c:v>
                </c:pt>
                <c:pt idx="38">
                  <c:v>671</c:v>
                </c:pt>
                <c:pt idx="39">
                  <c:v>690</c:v>
                </c:pt>
                <c:pt idx="40">
                  <c:v>699</c:v>
                </c:pt>
                <c:pt idx="41">
                  <c:v>790</c:v>
                </c:pt>
                <c:pt idx="42">
                  <c:v>799</c:v>
                </c:pt>
                <c:pt idx="43">
                  <c:v>799</c:v>
                </c:pt>
                <c:pt idx="44">
                  <c:v>799</c:v>
                </c:pt>
                <c:pt idx="45">
                  <c:v>799</c:v>
                </c:pt>
                <c:pt idx="46">
                  <c:v>850</c:v>
                </c:pt>
                <c:pt idx="47">
                  <c:v>880</c:v>
                </c:pt>
                <c:pt idx="48">
                  <c:v>899</c:v>
                </c:pt>
                <c:pt idx="49">
                  <c:v>950</c:v>
                </c:pt>
                <c:pt idx="50">
                  <c:v>968</c:v>
                </c:pt>
                <c:pt idx="51">
                  <c:v>979</c:v>
                </c:pt>
                <c:pt idx="52">
                  <c:v>980</c:v>
                </c:pt>
                <c:pt idx="53">
                  <c:v>988</c:v>
                </c:pt>
                <c:pt idx="54">
                  <c:v>990</c:v>
                </c:pt>
                <c:pt idx="55">
                  <c:v>990</c:v>
                </c:pt>
                <c:pt idx="56">
                  <c:v>998</c:v>
                </c:pt>
                <c:pt idx="57">
                  <c:v>999</c:v>
                </c:pt>
                <c:pt idx="58">
                  <c:v>1000</c:v>
                </c:pt>
                <c:pt idx="59">
                  <c:v>1080</c:v>
                </c:pt>
                <c:pt idx="60">
                  <c:v>1150</c:v>
                </c:pt>
                <c:pt idx="61">
                  <c:v>1189</c:v>
                </c:pt>
                <c:pt idx="62">
                  <c:v>1190</c:v>
                </c:pt>
                <c:pt idx="63">
                  <c:v>1190</c:v>
                </c:pt>
                <c:pt idx="64">
                  <c:v>1200</c:v>
                </c:pt>
                <c:pt idx="65">
                  <c:v>1200</c:v>
                </c:pt>
                <c:pt idx="66">
                  <c:v>1220</c:v>
                </c:pt>
                <c:pt idx="67">
                  <c:v>1274</c:v>
                </c:pt>
                <c:pt idx="68">
                  <c:v>1300</c:v>
                </c:pt>
                <c:pt idx="69">
                  <c:v>1350</c:v>
                </c:pt>
                <c:pt idx="70">
                  <c:v>1420</c:v>
                </c:pt>
                <c:pt idx="71">
                  <c:v>1459</c:v>
                </c:pt>
                <c:pt idx="72">
                  <c:v>1460</c:v>
                </c:pt>
                <c:pt idx="73">
                  <c:v>1462</c:v>
                </c:pt>
                <c:pt idx="74">
                  <c:v>1466</c:v>
                </c:pt>
                <c:pt idx="75">
                  <c:v>1468</c:v>
                </c:pt>
                <c:pt idx="76">
                  <c:v>1526</c:v>
                </c:pt>
                <c:pt idx="77">
                  <c:v>1570</c:v>
                </c:pt>
                <c:pt idx="78">
                  <c:v>1580</c:v>
                </c:pt>
                <c:pt idx="79">
                  <c:v>1600</c:v>
                </c:pt>
                <c:pt idx="80">
                  <c:v>1620</c:v>
                </c:pt>
                <c:pt idx="81">
                  <c:v>1650</c:v>
                </c:pt>
                <c:pt idx="82">
                  <c:v>1658</c:v>
                </c:pt>
                <c:pt idx="83">
                  <c:v>1660</c:v>
                </c:pt>
                <c:pt idx="84">
                  <c:v>1666</c:v>
                </c:pt>
                <c:pt idx="85">
                  <c:v>1680</c:v>
                </c:pt>
                <c:pt idx="86">
                  <c:v>1732</c:v>
                </c:pt>
                <c:pt idx="87">
                  <c:v>1740</c:v>
                </c:pt>
                <c:pt idx="88">
                  <c:v>1758</c:v>
                </c:pt>
                <c:pt idx="89">
                  <c:v>1768</c:v>
                </c:pt>
                <c:pt idx="90">
                  <c:v>1820</c:v>
                </c:pt>
                <c:pt idx="91">
                  <c:v>1860</c:v>
                </c:pt>
                <c:pt idx="92">
                  <c:v>1875</c:v>
                </c:pt>
                <c:pt idx="93">
                  <c:v>1940</c:v>
                </c:pt>
                <c:pt idx="94">
                  <c:v>1980</c:v>
                </c:pt>
                <c:pt idx="95">
                  <c:v>2025</c:v>
                </c:pt>
                <c:pt idx="96">
                  <c:v>2048</c:v>
                </c:pt>
                <c:pt idx="97">
                  <c:v>2115</c:v>
                </c:pt>
                <c:pt idx="98">
                  <c:v>2132</c:v>
                </c:pt>
                <c:pt idx="99">
                  <c:v>2170</c:v>
                </c:pt>
                <c:pt idx="100">
                  <c:v>2199</c:v>
                </c:pt>
                <c:pt idx="101">
                  <c:v>2200</c:v>
                </c:pt>
                <c:pt idx="102">
                  <c:v>2300</c:v>
                </c:pt>
                <c:pt idx="103">
                  <c:v>2319</c:v>
                </c:pt>
                <c:pt idx="104">
                  <c:v>2750</c:v>
                </c:pt>
                <c:pt idx="105">
                  <c:v>2799</c:v>
                </c:pt>
                <c:pt idx="106">
                  <c:v>2880</c:v>
                </c:pt>
                <c:pt idx="107">
                  <c:v>2999</c:v>
                </c:pt>
                <c:pt idx="108">
                  <c:v>2999</c:v>
                </c:pt>
                <c:pt idx="109">
                  <c:v>3546</c:v>
                </c:pt>
                <c:pt idx="110">
                  <c:v>3640</c:v>
                </c:pt>
                <c:pt idx="111">
                  <c:v>3750</c:v>
                </c:pt>
              </c:numCache>
            </c:numRef>
          </c:val>
          <c:extLst>
            <c:ext xmlns:c16="http://schemas.microsoft.com/office/drawing/2014/chart" uri="{C3380CC4-5D6E-409C-BE32-E72D297353CC}">
              <c16:uniqueId val="{00000000-E6E3-4F12-8F61-EA7F5974A2FD}"/>
            </c:ext>
          </c:extLst>
        </c:ser>
        <c:dLbls>
          <c:showLegendKey val="0"/>
          <c:showVal val="0"/>
          <c:showCatName val="0"/>
          <c:showSerName val="0"/>
          <c:showPercent val="0"/>
          <c:showBubbleSize val="0"/>
        </c:dLbls>
        <c:gapWidth val="182"/>
        <c:axId val="505980928"/>
        <c:axId val="505984864"/>
      </c:barChart>
      <c:catAx>
        <c:axId val="50598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5984864"/>
        <c:crosses val="autoZero"/>
        <c:auto val="1"/>
        <c:lblAlgn val="ctr"/>
        <c:lblOffset val="100"/>
        <c:noMultiLvlLbl val="0"/>
      </c:catAx>
      <c:valAx>
        <c:axId val="5059848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59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TOP 5 PRODUCTS WITH THE HIGHEST AND LOWEST RATINGS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Book Antiqua" panose="02040602050305030304" pitchFamily="18" charset="0"/>
            </a:rPr>
            <a:t>TOP 5 PRODUCTS WITH THE HIGHEST AND LOWEST RATINGS</a:t>
          </a:r>
        </a:p>
      </cx:txPr>
    </cx:title>
    <cx:plotArea>
      <cx:plotAreaRegion>
        <cx:series layoutId="clusteredColumn" uniqueId="{0064E884-FB3A-4B6B-B7F6-806C5A123CE3}" formatIdx="0">
          <cx:tx>
            <cx:txData>
              <cx:f>_xlchart.v1.1</cx:f>
              <cx:v>Rating</cx:v>
            </cx:txData>
          </cx:tx>
          <cx:dataId val="0"/>
          <cx:layoutPr>
            <cx:aggregation/>
          </cx:layoutPr>
          <cx:axisId val="1"/>
        </cx:series>
        <cx:series layoutId="paretoLine" ownerIdx="0" uniqueId="{701A3485-90F2-4907-9C44-FB517EDC8176}" formatIdx="1">
          <cx:axisId val="2"/>
        </cx:series>
        <cx:series layoutId="clusteredColumn" hidden="1" uniqueId="{BD9635D6-BC3C-441A-989B-EEA319E11192}" formatIdx="2">
          <cx:tx>
            <cx:txData>
              <cx:f>_xlchart.v1.3</cx:f>
              <cx:v>Products rating</cx:v>
            </cx:txData>
          </cx:tx>
          <cx:dataId val="1"/>
          <cx:layoutPr>
            <cx:aggregation/>
          </cx:layoutPr>
          <cx:axisId val="1"/>
        </cx:series>
        <cx:series layoutId="paretoLine" ownerIdx="2" uniqueId="{163712E2-5698-4911-B66A-F36FA77BC273}"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data id="1">
      <cx:strDim type="cat">
        <cx:f>_xlchart.v1.5</cx:f>
      </cx:strDim>
      <cx:numDim type="val">
        <cx:f>_xlchart.v1.9</cx:f>
      </cx:numDim>
    </cx:data>
    <cx:data id="2">
      <cx:strDim type="cat">
        <cx:f>_xlchart.v1.5</cx:f>
      </cx:strDim>
      <cx:numDim type="val">
        <cx:f>_xlchart.v1.11</cx:f>
      </cx:numDim>
    </cx:data>
  </cx:chartData>
  <cx:chart>
    <cx:title pos="t" align="ctr" overlay="0">
      <cx:tx>
        <cx:txData>
          <cx:v>TOP 10 PRODUCTS WITH THE HIGHEST  DISCOUNTS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Book Antiqua" panose="02040602050305030304" pitchFamily="18" charset="0"/>
            </a:rPr>
            <a:t>TOP 10 PRODUCTS WITH THE HIGHEST  DISCOUNTS</a:t>
          </a:r>
        </a:p>
      </cx:txPr>
    </cx:title>
    <cx:plotArea>
      <cx:plotAreaRegion>
        <cx:series layoutId="clusteredColumn" uniqueId="{E9D1E077-2148-4094-B149-C04039AD98BD}" formatIdx="0">
          <cx:tx>
            <cx:txData>
              <cx:f>_xlchart.v1.6</cx:f>
              <cx:v>Discount</cx:v>
            </cx:txData>
          </cx:tx>
          <cx:dataId val="0"/>
          <cx:layoutPr>
            <cx:aggregation/>
          </cx:layoutPr>
          <cx:axisId val="1"/>
        </cx:series>
        <cx:series layoutId="paretoLine" ownerIdx="0" uniqueId="{DDFF7B87-83E0-4EB3-BEF3-194D702B6C1B}" formatIdx="1">
          <cx:axisId val="2"/>
        </cx:series>
        <cx:series layoutId="clusteredColumn" hidden="1" uniqueId="{6BE21153-4F9C-4AAA-A0B6-02F6E0C20122}" formatIdx="2">
          <cx:tx>
            <cx:txData>
              <cx:f>_xlchart.v1.8</cx:f>
              <cx:v>Review</cx:v>
            </cx:txData>
          </cx:tx>
          <cx:dataId val="1"/>
          <cx:layoutPr>
            <cx:aggregation/>
          </cx:layoutPr>
          <cx:axisId val="1"/>
        </cx:series>
        <cx:series layoutId="paretoLine" ownerIdx="2" uniqueId="{4EBA8212-C68C-4248-A0AD-188A0E170AB5}" formatIdx="3">
          <cx:axisId val="2"/>
        </cx:series>
        <cx:series layoutId="clusteredColumn" hidden="1" uniqueId="{F2F3A44B-8D33-4F40-8095-C10AEA8E47B6}" formatIdx="4">
          <cx:tx>
            <cx:txData>
              <cx:f>_xlchart.v1.10</cx:f>
              <cx:v>Discount %</cx:v>
            </cx:txData>
          </cx:tx>
          <cx:dataId val="2"/>
          <cx:layoutPr>
            <cx:aggregation/>
          </cx:layoutPr>
          <cx:axisId val="1"/>
        </cx:series>
        <cx:series layoutId="paretoLine" ownerIdx="4" uniqueId="{1E842F7C-637F-4C63-B77F-67E254C74D37}" formatIdx="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title pos="t" align="ctr" overlay="0">
      <cx:tx>
        <cx:txData>
          <cx:v>TOP 10 PRODUCTS WITH MOST REVIEWS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Book Antiqua" panose="02040602050305030304" pitchFamily="18" charset="0"/>
            </a:rPr>
            <a:t>TOP 10 PRODUCTS WITH MOST REVIEWS</a:t>
          </a:r>
        </a:p>
      </cx:txPr>
    </cx:title>
    <cx:plotArea>
      <cx:plotAreaRegion>
        <cx:series layoutId="clusteredColumn" uniqueId="{9F6F6647-977F-4C9F-A743-C714B607C917}">
          <cx:tx>
            <cx:txData>
              <cx:f>_xlchart.v1.13</cx:f>
              <cx:v>Review</cx:v>
            </cx:txData>
          </cx:tx>
          <cx:dataId val="0"/>
          <cx:layoutPr>
            <cx:aggregation/>
          </cx:layoutPr>
          <cx:axisId val="1"/>
        </cx:series>
        <cx:series layoutId="paretoLine" ownerIdx="0" uniqueId="{72A63E9D-6B92-412B-A6AE-EF9EA14B456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333375</xdr:colOff>
      <xdr:row>1</xdr:row>
      <xdr:rowOff>42862</xdr:rowOff>
    </xdr:from>
    <xdr:to>
      <xdr:col>10</xdr:col>
      <xdr:colOff>28575</xdr:colOff>
      <xdr:row>15</xdr:row>
      <xdr:rowOff>119062</xdr:rowOff>
    </xdr:to>
    <xdr:graphicFrame macro="">
      <xdr:nvGraphicFramePr>
        <xdr:cNvPr id="3" name="Chart 2">
          <a:extLst>
            <a:ext uri="{FF2B5EF4-FFF2-40B4-BE49-F238E27FC236}">
              <a16:creationId xmlns:a16="http://schemas.microsoft.com/office/drawing/2014/main" id="{43CC4B71-0F63-452E-BB25-9BCA66234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0</xdr:row>
      <xdr:rowOff>0</xdr:rowOff>
    </xdr:from>
    <xdr:to>
      <xdr:col>11</xdr:col>
      <xdr:colOff>190500</xdr:colOff>
      <xdr:row>15</xdr:row>
      <xdr:rowOff>0</xdr:rowOff>
    </xdr:to>
    <xdr:graphicFrame macro="">
      <xdr:nvGraphicFramePr>
        <xdr:cNvPr id="2" name="Chart 1">
          <a:extLst>
            <a:ext uri="{FF2B5EF4-FFF2-40B4-BE49-F238E27FC236}">
              <a16:creationId xmlns:a16="http://schemas.microsoft.com/office/drawing/2014/main" id="{D4C2A6B4-B985-46E8-A9EF-083A0069C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133350</xdr:colOff>
      <xdr:row>2</xdr:row>
      <xdr:rowOff>147637</xdr:rowOff>
    </xdr:from>
    <xdr:to>
      <xdr:col>11</xdr:col>
      <xdr:colOff>438150</xdr:colOff>
      <xdr:row>17</xdr:row>
      <xdr:rowOff>33337</xdr:rowOff>
    </xdr:to>
    <xdr:graphicFrame macro="">
      <xdr:nvGraphicFramePr>
        <xdr:cNvPr id="4" name="Chart 3">
          <a:extLst>
            <a:ext uri="{FF2B5EF4-FFF2-40B4-BE49-F238E27FC236}">
              <a16:creationId xmlns:a16="http://schemas.microsoft.com/office/drawing/2014/main" id="{456AA285-C855-4F3F-AA3F-107469D32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447675</xdr:colOff>
      <xdr:row>1</xdr:row>
      <xdr:rowOff>100012</xdr:rowOff>
    </xdr:from>
    <xdr:to>
      <xdr:col>11</xdr:col>
      <xdr:colOff>142875</xdr:colOff>
      <xdr:row>15</xdr:row>
      <xdr:rowOff>176212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9209A68-4A1D-4909-BFAF-7D05D20DED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46695" y="282892"/>
              <a:ext cx="4572000" cy="263652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xdr:row>
      <xdr:rowOff>176212</xdr:rowOff>
    </xdr:from>
    <xdr:to>
      <xdr:col>12</xdr:col>
      <xdr:colOff>304800</xdr:colOff>
      <xdr:row>16</xdr:row>
      <xdr:rowOff>61912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7DE9502-8FE3-478D-938D-5F13C05957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65820" y="359092"/>
              <a:ext cx="4572000" cy="26289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4762</xdr:rowOff>
    </xdr:from>
    <xdr:to>
      <xdr:col>10</xdr:col>
      <xdr:colOff>304800</xdr:colOff>
      <xdr:row>15</xdr:row>
      <xdr:rowOff>80962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A0AC3A0-B926-48C4-9264-06010004F7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09460" y="187642"/>
              <a:ext cx="4572000" cy="263652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133350</xdr:colOff>
      <xdr:row>126</xdr:row>
      <xdr:rowOff>33337</xdr:rowOff>
    </xdr:from>
    <xdr:to>
      <xdr:col>19</xdr:col>
      <xdr:colOff>209550</xdr:colOff>
      <xdr:row>140</xdr:row>
      <xdr:rowOff>109537</xdr:rowOff>
    </xdr:to>
    <xdr:graphicFrame macro="">
      <xdr:nvGraphicFramePr>
        <xdr:cNvPr id="2" name="Chart 1">
          <a:extLst>
            <a:ext uri="{FF2B5EF4-FFF2-40B4-BE49-F238E27FC236}">
              <a16:creationId xmlns:a16="http://schemas.microsoft.com/office/drawing/2014/main" id="{BCEDF415-0CD4-4C1B-BD0B-0A5814BE9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38100</xdr:colOff>
      <xdr:row>106</xdr:row>
      <xdr:rowOff>152400</xdr:rowOff>
    </xdr:from>
    <xdr:to>
      <xdr:col>13</xdr:col>
      <xdr:colOff>1866900</xdr:colOff>
      <xdr:row>120</xdr:row>
      <xdr:rowOff>9525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9D3DCC06-4F81-4C87-BB37-4B7CBE3D799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738300" y="20345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xdr:colOff>
      <xdr:row>92</xdr:row>
      <xdr:rowOff>123825</xdr:rowOff>
    </xdr:from>
    <xdr:to>
      <xdr:col>5</xdr:col>
      <xdr:colOff>1895475</xdr:colOff>
      <xdr:row>105</xdr:row>
      <xdr:rowOff>171450</xdr:rowOff>
    </xdr:to>
    <mc:AlternateContent xmlns:mc="http://schemas.openxmlformats.org/markup-compatibility/2006" xmlns:a14="http://schemas.microsoft.com/office/drawing/2010/main">
      <mc:Choice Requires="a14">
        <xdr:graphicFrame macro="">
          <xdr:nvGraphicFramePr>
            <xdr:cNvPr id="7" name="Discount">
              <a:extLst>
                <a:ext uri="{FF2B5EF4-FFF2-40B4-BE49-F238E27FC236}">
                  <a16:creationId xmlns:a16="http://schemas.microsoft.com/office/drawing/2014/main" id="{F48E88F9-C1D3-430B-8528-C48B087AC92E}"/>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1858625" y="17649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257175</xdr:colOff>
      <xdr:row>106</xdr:row>
      <xdr:rowOff>19050</xdr:rowOff>
    </xdr:from>
    <xdr:to>
      <xdr:col>5</xdr:col>
      <xdr:colOff>9525</xdr:colOff>
      <xdr:row>119</xdr:row>
      <xdr:rowOff>66675</xdr:rowOff>
    </xdr:to>
    <mc:AlternateContent xmlns:mc="http://schemas.openxmlformats.org/markup-compatibility/2006" xmlns:a14="http://schemas.microsoft.com/office/drawing/2010/main">
      <mc:Choice Requires="a14">
        <xdr:graphicFrame macro="">
          <xdr:nvGraphicFramePr>
            <xdr:cNvPr id="8" name="Rating">
              <a:extLst>
                <a:ext uri="{FF2B5EF4-FFF2-40B4-BE49-F238E27FC236}">
                  <a16:creationId xmlns:a16="http://schemas.microsoft.com/office/drawing/2014/main" id="{B14CD8D8-C54C-4B4A-B0C5-3DBD63DFF394}"/>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9972675" y="2021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95250</xdr:colOff>
      <xdr:row>213</xdr:row>
      <xdr:rowOff>109537</xdr:rowOff>
    </xdr:from>
    <xdr:to>
      <xdr:col>19</xdr:col>
      <xdr:colOff>171450</xdr:colOff>
      <xdr:row>227</xdr:row>
      <xdr:rowOff>185737</xdr:rowOff>
    </xdr:to>
    <xdr:graphicFrame macro="">
      <xdr:nvGraphicFramePr>
        <xdr:cNvPr id="9" name="Chart 8">
          <a:extLst>
            <a:ext uri="{FF2B5EF4-FFF2-40B4-BE49-F238E27FC236}">
              <a16:creationId xmlns:a16="http://schemas.microsoft.com/office/drawing/2014/main" id="{FDFF539F-07A1-4229-B69B-F2300E2ED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552450</xdr:colOff>
      <xdr:row>354</xdr:row>
      <xdr:rowOff>119062</xdr:rowOff>
    </xdr:from>
    <xdr:to>
      <xdr:col>13</xdr:col>
      <xdr:colOff>762000</xdr:colOff>
      <xdr:row>369</xdr:row>
      <xdr:rowOff>4762</xdr:rowOff>
    </xdr:to>
    <xdr:graphicFrame macro="">
      <xdr:nvGraphicFramePr>
        <xdr:cNvPr id="10" name="Chart 9">
          <a:extLst>
            <a:ext uri="{FF2B5EF4-FFF2-40B4-BE49-F238E27FC236}">
              <a16:creationId xmlns:a16="http://schemas.microsoft.com/office/drawing/2014/main" id="{96B87389-937B-4AD0-9185-6B355DB99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459</xdr:row>
      <xdr:rowOff>14287</xdr:rowOff>
    </xdr:from>
    <xdr:to>
      <xdr:col>6</xdr:col>
      <xdr:colOff>819150</xdr:colOff>
      <xdr:row>473</xdr:row>
      <xdr:rowOff>90487</xdr:rowOff>
    </xdr:to>
    <xdr:graphicFrame macro="">
      <xdr:nvGraphicFramePr>
        <xdr:cNvPr id="11" name="Chart 10">
          <a:extLst>
            <a:ext uri="{FF2B5EF4-FFF2-40B4-BE49-F238E27FC236}">
              <a16:creationId xmlns:a16="http://schemas.microsoft.com/office/drawing/2014/main" id="{AA7BD9BE-089D-45E8-AFD5-B56419EBB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152400</xdr:colOff>
      <xdr:row>15</xdr:row>
      <xdr:rowOff>61912</xdr:rowOff>
    </xdr:from>
    <xdr:to>
      <xdr:col>6</xdr:col>
      <xdr:colOff>838200</xdr:colOff>
      <xdr:row>29</xdr:row>
      <xdr:rowOff>138112</xdr:rowOff>
    </xdr:to>
    <xdr:graphicFrame macro="">
      <xdr:nvGraphicFramePr>
        <xdr:cNvPr id="3" name="Chart 2">
          <a:extLst>
            <a:ext uri="{FF2B5EF4-FFF2-40B4-BE49-F238E27FC236}">
              <a16:creationId xmlns:a16="http://schemas.microsoft.com/office/drawing/2014/main" id="{2CC75FD4-1FBD-4687-A694-B2965BEC0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1676400</xdr:colOff>
      <xdr:row>0</xdr:row>
      <xdr:rowOff>0</xdr:rowOff>
    </xdr:from>
    <xdr:to>
      <xdr:col>28</xdr:col>
      <xdr:colOff>466725</xdr:colOff>
      <xdr:row>50</xdr:row>
      <xdr:rowOff>7620</xdr:rowOff>
    </xdr:to>
    <xdr:sp macro="" textlink="">
      <xdr:nvSpPr>
        <xdr:cNvPr id="3" name="Rectangle 2">
          <a:extLst>
            <a:ext uri="{FF2B5EF4-FFF2-40B4-BE49-F238E27FC236}">
              <a16:creationId xmlns:a16="http://schemas.microsoft.com/office/drawing/2014/main" id="{39162820-6E78-419E-96B2-82971440C5B5}"/>
            </a:ext>
          </a:extLst>
        </xdr:cNvPr>
        <xdr:cNvSpPr/>
      </xdr:nvSpPr>
      <xdr:spPr>
        <a:xfrm>
          <a:off x="1943100" y="0"/>
          <a:ext cx="15973425" cy="9151620"/>
        </a:xfrm>
        <a:prstGeom prst="rect">
          <a:avLst/>
        </a:prstGeom>
        <a:solidFill>
          <a:schemeClr val="tx2">
            <a:lumMod val="40000"/>
            <a:lumOff val="60000"/>
          </a:schemeClr>
        </a:soli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 </a:t>
          </a:r>
          <a:r>
            <a:rPr lang="en-US" sz="1200" b="1" u="dbl">
              <a:solidFill>
                <a:sysClr val="windowText" lastClr="000000"/>
              </a:solidFill>
              <a:latin typeface="Book Antiqua" panose="02040602050305030304" pitchFamily="18" charset="0"/>
            </a:rPr>
            <a:t>JUMIA PRODUCT PERFORMANCE DASHBOARD : ANALYZING PRICING, DISCOUNTS AND CUSTOMER REVIEWS.</a:t>
          </a:r>
        </a:p>
      </xdr:txBody>
    </xdr:sp>
    <xdr:clientData/>
  </xdr:twoCellAnchor>
  <xdr:twoCellAnchor>
    <xdr:from>
      <xdr:col>1</xdr:col>
      <xdr:colOff>38100</xdr:colOff>
      <xdr:row>0</xdr:row>
      <xdr:rowOff>0</xdr:rowOff>
    </xdr:from>
    <xdr:to>
      <xdr:col>1</xdr:col>
      <xdr:colOff>1676400</xdr:colOff>
      <xdr:row>50</xdr:row>
      <xdr:rowOff>7620</xdr:rowOff>
    </xdr:to>
    <xdr:sp macro="" textlink="">
      <xdr:nvSpPr>
        <xdr:cNvPr id="2" name="Rectangle 1">
          <a:extLst>
            <a:ext uri="{FF2B5EF4-FFF2-40B4-BE49-F238E27FC236}">
              <a16:creationId xmlns:a16="http://schemas.microsoft.com/office/drawing/2014/main" id="{A1783F1E-3D51-4750-81CC-BB3D0556BF9A}"/>
            </a:ext>
          </a:extLst>
        </xdr:cNvPr>
        <xdr:cNvSpPr/>
      </xdr:nvSpPr>
      <xdr:spPr>
        <a:xfrm>
          <a:off x="304800" y="0"/>
          <a:ext cx="1638300" cy="9151620"/>
        </a:xfrm>
        <a:prstGeom prst="rect">
          <a:avLst/>
        </a:prstGeom>
        <a:solidFill>
          <a:srgbClr val="002060"/>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50800" dist="38100" algn="l" rotWithShape="0">
                <a:prstClr val="black">
                  <a:alpha val="40000"/>
                </a:prstClr>
              </a:outerShdw>
            </a:effectLst>
          </a:endParaRPr>
        </a:p>
      </xdr:txBody>
    </xdr:sp>
    <xdr:clientData/>
  </xdr:twoCellAnchor>
  <xdr:twoCellAnchor>
    <xdr:from>
      <xdr:col>1</xdr:col>
      <xdr:colOff>247650</xdr:colOff>
      <xdr:row>10</xdr:row>
      <xdr:rowOff>83003</xdr:rowOff>
    </xdr:from>
    <xdr:to>
      <xdr:col>1</xdr:col>
      <xdr:colOff>1457325</xdr:colOff>
      <xdr:row>12</xdr:row>
      <xdr:rowOff>102053</xdr:rowOff>
    </xdr:to>
    <xdr:sp macro="" textlink="'Pivot Table'!B4">
      <xdr:nvSpPr>
        <xdr:cNvPr id="9" name="TextBox 8">
          <a:extLst>
            <a:ext uri="{FF2B5EF4-FFF2-40B4-BE49-F238E27FC236}">
              <a16:creationId xmlns:a16="http://schemas.microsoft.com/office/drawing/2014/main" id="{5D5D22E4-6C1D-4A9B-A434-E7AB1EFBF53C}"/>
            </a:ext>
          </a:extLst>
        </xdr:cNvPr>
        <xdr:cNvSpPr txBox="1"/>
      </xdr:nvSpPr>
      <xdr:spPr>
        <a:xfrm>
          <a:off x="504825" y="1988003"/>
          <a:ext cx="1209675" cy="400050"/>
        </a:xfrm>
        <a:prstGeom prst="rect">
          <a:avLst/>
        </a:prstGeom>
        <a:solidFill>
          <a:srgbClr val="002060"/>
        </a:solidFill>
        <a:ln w="9525" cmpd="sng">
          <a:solidFill>
            <a:srgbClr val="002060"/>
          </a:solidFill>
        </a:ln>
        <a:effectLst>
          <a:outerShdw blurRad="38100" dist="50800" dir="5400000" algn="ctr" rotWithShape="0">
            <a:srgbClr val="000000">
              <a:alpha val="2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EE4B0E-C43C-4928-9F53-E6D50B91428B}" type="TxLink">
            <a:rPr lang="en-US" sz="1600" b="1" i="0" u="none" strike="noStrike">
              <a:solidFill>
                <a:srgbClr val="000000"/>
              </a:solidFill>
              <a:effectLst>
                <a:outerShdw blurRad="50800" dist="50800" dir="5400000" algn="ctr" rotWithShape="0">
                  <a:srgbClr val="002060"/>
                </a:outerShdw>
              </a:effectLst>
              <a:latin typeface="Book Antiqua" panose="02040602050305030304" pitchFamily="18" charset="0"/>
              <a:ea typeface="Calibri"/>
              <a:cs typeface="Calibri"/>
            </a:rPr>
            <a:pPr/>
            <a:t>3.889473684</a:t>
          </a:fld>
          <a:endParaRPr lang="en-US" sz="1600" b="1">
            <a:effectLst>
              <a:outerShdw blurRad="50800" dist="50800" dir="5400000" algn="ctr" rotWithShape="0">
                <a:srgbClr val="002060"/>
              </a:outerShdw>
            </a:effectLst>
            <a:latin typeface="Book Antiqua" panose="02040602050305030304" pitchFamily="18" charset="0"/>
          </a:endParaRPr>
        </a:p>
      </xdr:txBody>
    </xdr:sp>
    <xdr:clientData/>
  </xdr:twoCellAnchor>
  <xdr:twoCellAnchor>
    <xdr:from>
      <xdr:col>1</xdr:col>
      <xdr:colOff>247650</xdr:colOff>
      <xdr:row>16</xdr:row>
      <xdr:rowOff>179614</xdr:rowOff>
    </xdr:from>
    <xdr:to>
      <xdr:col>1</xdr:col>
      <xdr:colOff>1457325</xdr:colOff>
      <xdr:row>19</xdr:row>
      <xdr:rowOff>8164</xdr:rowOff>
    </xdr:to>
    <xdr:sp macro="" textlink="'Pivot Table'!C4">
      <xdr:nvSpPr>
        <xdr:cNvPr id="10" name="TextBox 9">
          <a:extLst>
            <a:ext uri="{FF2B5EF4-FFF2-40B4-BE49-F238E27FC236}">
              <a16:creationId xmlns:a16="http://schemas.microsoft.com/office/drawing/2014/main" id="{9D12B5BB-2823-46BE-BE11-1CCFE70D04E5}"/>
            </a:ext>
          </a:extLst>
        </xdr:cNvPr>
        <xdr:cNvSpPr txBox="1"/>
      </xdr:nvSpPr>
      <xdr:spPr>
        <a:xfrm>
          <a:off x="504825" y="3227614"/>
          <a:ext cx="1209675" cy="400050"/>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98EB5C-81F4-4815-8F6F-F39C04DFDE61}" type="TxLink">
            <a:rPr lang="en-US" sz="1600" b="1" i="0" u="none" strike="noStrike">
              <a:solidFill>
                <a:srgbClr val="000000"/>
              </a:solidFill>
              <a:effectLst>
                <a:outerShdw blurRad="50800" dist="50800" dir="5400000" algn="ctr" rotWithShape="0">
                  <a:srgbClr val="002060"/>
                </a:outerShdw>
              </a:effectLst>
              <a:latin typeface="Book Antiqua" panose="02040602050305030304" pitchFamily="18" charset="0"/>
              <a:ea typeface="Calibri"/>
              <a:cs typeface="Calibri"/>
            </a:rPr>
            <a:pPr/>
            <a:t>0.367767857</a:t>
          </a:fld>
          <a:endParaRPr lang="en-US" sz="1600" b="1">
            <a:effectLst>
              <a:outerShdw blurRad="50800" dist="50800" dir="5400000" algn="ctr" rotWithShape="0">
                <a:srgbClr val="002060"/>
              </a:outerShdw>
            </a:effectLst>
            <a:latin typeface="Book Antiqua" panose="02040602050305030304" pitchFamily="18" charset="0"/>
          </a:endParaRPr>
        </a:p>
      </xdr:txBody>
    </xdr:sp>
    <xdr:clientData/>
  </xdr:twoCellAnchor>
  <xdr:twoCellAnchor>
    <xdr:from>
      <xdr:col>1</xdr:col>
      <xdr:colOff>247650</xdr:colOff>
      <xdr:row>23</xdr:row>
      <xdr:rowOff>85725</xdr:rowOff>
    </xdr:from>
    <xdr:to>
      <xdr:col>1</xdr:col>
      <xdr:colOff>1457325</xdr:colOff>
      <xdr:row>25</xdr:row>
      <xdr:rowOff>104775</xdr:rowOff>
    </xdr:to>
    <xdr:sp macro="" textlink="'Pivot Table'!D4">
      <xdr:nvSpPr>
        <xdr:cNvPr id="11" name="TextBox 10">
          <a:extLst>
            <a:ext uri="{FF2B5EF4-FFF2-40B4-BE49-F238E27FC236}">
              <a16:creationId xmlns:a16="http://schemas.microsoft.com/office/drawing/2014/main" id="{461FF11D-7BD3-4ABE-ACFE-547975912A23}"/>
            </a:ext>
          </a:extLst>
        </xdr:cNvPr>
        <xdr:cNvSpPr txBox="1"/>
      </xdr:nvSpPr>
      <xdr:spPr>
        <a:xfrm>
          <a:off x="504825" y="4467225"/>
          <a:ext cx="1209675" cy="400050"/>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283DA5-AD4E-4751-A071-F96304EDF67F}" type="TxLink">
            <a:rPr lang="en-US" sz="1600" b="1" i="0" u="none" strike="noStrike">
              <a:solidFill>
                <a:srgbClr val="000000"/>
              </a:solidFill>
              <a:effectLst>
                <a:outerShdw blurRad="50800" dist="50800" dir="5400000" algn="ctr" rotWithShape="0">
                  <a:srgbClr val="002060"/>
                </a:outerShdw>
              </a:effectLst>
              <a:latin typeface="Book Antiqua" panose="02040602050305030304" pitchFamily="18" charset="0"/>
              <a:ea typeface="Calibri"/>
              <a:cs typeface="Calibri"/>
            </a:rPr>
            <a:pPr/>
            <a:t>-723</a:t>
          </a:fld>
          <a:endParaRPr lang="en-US" sz="1600" b="1">
            <a:effectLst>
              <a:outerShdw blurRad="50800" dist="50800" dir="5400000" algn="ctr" rotWithShape="0">
                <a:srgbClr val="002060"/>
              </a:outerShdw>
            </a:effectLst>
            <a:latin typeface="Book Antiqua" panose="02040602050305030304" pitchFamily="18" charset="0"/>
          </a:endParaRPr>
        </a:p>
      </xdr:txBody>
    </xdr:sp>
    <xdr:clientData/>
  </xdr:twoCellAnchor>
  <xdr:twoCellAnchor>
    <xdr:from>
      <xdr:col>1</xdr:col>
      <xdr:colOff>247650</xdr:colOff>
      <xdr:row>0</xdr:row>
      <xdr:rowOff>161924</xdr:rowOff>
    </xdr:from>
    <xdr:to>
      <xdr:col>1</xdr:col>
      <xdr:colOff>1543050</xdr:colOff>
      <xdr:row>2</xdr:row>
      <xdr:rowOff>95249</xdr:rowOff>
    </xdr:to>
    <xdr:sp macro="" textlink="">
      <xdr:nvSpPr>
        <xdr:cNvPr id="12" name="TextBox 11">
          <a:extLst>
            <a:ext uri="{FF2B5EF4-FFF2-40B4-BE49-F238E27FC236}">
              <a16:creationId xmlns:a16="http://schemas.microsoft.com/office/drawing/2014/main" id="{07C2E120-9859-4565-A60B-BF2DD3235959}"/>
            </a:ext>
          </a:extLst>
        </xdr:cNvPr>
        <xdr:cNvSpPr txBox="1"/>
      </xdr:nvSpPr>
      <xdr:spPr>
        <a:xfrm>
          <a:off x="504825" y="161924"/>
          <a:ext cx="129540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a:latin typeface="Book Antiqua" panose="02040602050305030304" pitchFamily="18" charset="0"/>
            </a:rPr>
            <a:t>PRODUCTS</a:t>
          </a:r>
        </a:p>
      </xdr:txBody>
    </xdr:sp>
    <xdr:clientData/>
  </xdr:twoCellAnchor>
  <xdr:twoCellAnchor>
    <xdr:from>
      <xdr:col>1</xdr:col>
      <xdr:colOff>247650</xdr:colOff>
      <xdr:row>7</xdr:row>
      <xdr:rowOff>68035</xdr:rowOff>
    </xdr:from>
    <xdr:to>
      <xdr:col>1</xdr:col>
      <xdr:colOff>1543050</xdr:colOff>
      <xdr:row>9</xdr:row>
      <xdr:rowOff>10885</xdr:rowOff>
    </xdr:to>
    <xdr:sp macro="" textlink="">
      <xdr:nvSpPr>
        <xdr:cNvPr id="15" name="TextBox 14">
          <a:extLst>
            <a:ext uri="{FF2B5EF4-FFF2-40B4-BE49-F238E27FC236}">
              <a16:creationId xmlns:a16="http://schemas.microsoft.com/office/drawing/2014/main" id="{137C0D74-6DF1-424C-8EC1-B6FC0309D15B}"/>
            </a:ext>
          </a:extLst>
        </xdr:cNvPr>
        <xdr:cNvSpPr txBox="1"/>
      </xdr:nvSpPr>
      <xdr:spPr>
        <a:xfrm>
          <a:off x="504825" y="1401535"/>
          <a:ext cx="12954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a:t>
          </a:r>
          <a:r>
            <a:rPr lang="en-US" sz="1100" baseline="0"/>
            <a:t> RATING</a:t>
          </a:r>
          <a:endParaRPr lang="en-US" sz="1100"/>
        </a:p>
      </xdr:txBody>
    </xdr:sp>
    <xdr:clientData/>
  </xdr:twoCellAnchor>
  <xdr:twoCellAnchor>
    <xdr:from>
      <xdr:col>1</xdr:col>
      <xdr:colOff>247650</xdr:colOff>
      <xdr:row>13</xdr:row>
      <xdr:rowOff>174171</xdr:rowOff>
    </xdr:from>
    <xdr:to>
      <xdr:col>1</xdr:col>
      <xdr:colOff>1543050</xdr:colOff>
      <xdr:row>15</xdr:row>
      <xdr:rowOff>107496</xdr:rowOff>
    </xdr:to>
    <xdr:sp macro="" textlink="">
      <xdr:nvSpPr>
        <xdr:cNvPr id="16" name="TextBox 15">
          <a:extLst>
            <a:ext uri="{FF2B5EF4-FFF2-40B4-BE49-F238E27FC236}">
              <a16:creationId xmlns:a16="http://schemas.microsoft.com/office/drawing/2014/main" id="{3001F836-30D7-413A-B80B-88D34E7FF920}"/>
            </a:ext>
          </a:extLst>
        </xdr:cNvPr>
        <xdr:cNvSpPr txBox="1"/>
      </xdr:nvSpPr>
      <xdr:spPr>
        <a:xfrm>
          <a:off x="504825" y="2650671"/>
          <a:ext cx="1295400" cy="314325"/>
        </a:xfrm>
        <a:prstGeom prst="rect">
          <a:avLst/>
        </a:prstGeom>
        <a:solidFill>
          <a:schemeClr val="l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💯AV.DISCOUNT</a:t>
          </a:r>
        </a:p>
      </xdr:txBody>
    </xdr:sp>
    <xdr:clientData/>
  </xdr:twoCellAnchor>
  <xdr:twoCellAnchor>
    <xdr:from>
      <xdr:col>1</xdr:col>
      <xdr:colOff>247650</xdr:colOff>
      <xdr:row>20</xdr:row>
      <xdr:rowOff>80282</xdr:rowOff>
    </xdr:from>
    <xdr:to>
      <xdr:col>1</xdr:col>
      <xdr:colOff>1543050</xdr:colOff>
      <xdr:row>22</xdr:row>
      <xdr:rowOff>13607</xdr:rowOff>
    </xdr:to>
    <xdr:sp macro="" textlink="">
      <xdr:nvSpPr>
        <xdr:cNvPr id="17" name="TextBox 16">
          <a:extLst>
            <a:ext uri="{FF2B5EF4-FFF2-40B4-BE49-F238E27FC236}">
              <a16:creationId xmlns:a16="http://schemas.microsoft.com/office/drawing/2014/main" id="{34D37FB0-67D5-48CE-8BAE-653FA7DD5E97}"/>
            </a:ext>
          </a:extLst>
        </xdr:cNvPr>
        <xdr:cNvSpPr txBox="1"/>
      </xdr:nvSpPr>
      <xdr:spPr>
        <a:xfrm>
          <a:off x="504825" y="3890282"/>
          <a:ext cx="1295400" cy="314325"/>
        </a:xfrm>
        <a:prstGeom prst="rect">
          <a:avLst/>
        </a:prstGeom>
        <a:solidFill>
          <a:schemeClr val="l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REVIEWS</a:t>
          </a:r>
          <a:endParaRPr lang="en-US" sz="1100"/>
        </a:p>
      </xdr:txBody>
    </xdr:sp>
    <xdr:clientData/>
  </xdr:twoCellAnchor>
  <xdr:twoCellAnchor>
    <xdr:from>
      <xdr:col>1</xdr:col>
      <xdr:colOff>247650</xdr:colOff>
      <xdr:row>3</xdr:row>
      <xdr:rowOff>167367</xdr:rowOff>
    </xdr:from>
    <xdr:to>
      <xdr:col>1</xdr:col>
      <xdr:colOff>1457325</xdr:colOff>
      <xdr:row>5</xdr:row>
      <xdr:rowOff>186417</xdr:rowOff>
    </xdr:to>
    <xdr:sp macro="" textlink="'Pivot Table'!A4">
      <xdr:nvSpPr>
        <xdr:cNvPr id="8" name="TextBox 7">
          <a:extLst>
            <a:ext uri="{FF2B5EF4-FFF2-40B4-BE49-F238E27FC236}">
              <a16:creationId xmlns:a16="http://schemas.microsoft.com/office/drawing/2014/main" id="{4A347EEF-AD33-4104-BBD1-097DC901F018}"/>
            </a:ext>
          </a:extLst>
        </xdr:cNvPr>
        <xdr:cNvSpPr txBox="1"/>
      </xdr:nvSpPr>
      <xdr:spPr>
        <a:xfrm>
          <a:off x="504825" y="738867"/>
          <a:ext cx="1209675" cy="400050"/>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3298C1-27DF-4173-8CDC-57E0AC2930B7}" type="TxLink">
            <a:rPr lang="en-US" sz="1600" b="1" i="0" u="none" strike="noStrike">
              <a:solidFill>
                <a:srgbClr val="000000"/>
              </a:solidFill>
              <a:effectLst>
                <a:outerShdw blurRad="50800" dist="50800" dir="5400000" algn="ctr" rotWithShape="0">
                  <a:srgbClr val="002060"/>
                </a:outerShdw>
              </a:effectLst>
              <a:latin typeface="Book Antiqua" panose="02040602050305030304" pitchFamily="18" charset="0"/>
              <a:ea typeface="Calibri"/>
              <a:cs typeface="Calibri"/>
            </a:rPr>
            <a:pPr/>
            <a:t>112</a:t>
          </a:fld>
          <a:endParaRPr lang="en-US" sz="1600" b="1">
            <a:effectLst>
              <a:outerShdw blurRad="50800" dist="50800" dir="5400000" algn="ctr" rotWithShape="0">
                <a:srgbClr val="002060"/>
              </a:outerShdw>
            </a:effectLst>
            <a:latin typeface="Book Antiqua" panose="02040602050305030304" pitchFamily="18" charset="0"/>
          </a:endParaRPr>
        </a:p>
      </xdr:txBody>
    </xdr:sp>
    <xdr:clientData/>
  </xdr:twoCellAnchor>
  <xdr:twoCellAnchor>
    <xdr:from>
      <xdr:col>11</xdr:col>
      <xdr:colOff>38100</xdr:colOff>
      <xdr:row>2</xdr:row>
      <xdr:rowOff>95250</xdr:rowOff>
    </xdr:from>
    <xdr:to>
      <xdr:col>18</xdr:col>
      <xdr:colOff>342900</xdr:colOff>
      <xdr:row>16</xdr:row>
      <xdr:rowOff>171450</xdr:rowOff>
    </xdr:to>
    <xdr:graphicFrame macro="">
      <xdr:nvGraphicFramePr>
        <xdr:cNvPr id="21" name="Chart 20">
          <a:extLst>
            <a:ext uri="{FF2B5EF4-FFF2-40B4-BE49-F238E27FC236}">
              <a16:creationId xmlns:a16="http://schemas.microsoft.com/office/drawing/2014/main" id="{7D584160-1DB9-41D6-9C2B-1FBB139E6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180975</xdr:colOff>
      <xdr:row>2</xdr:row>
      <xdr:rowOff>114300</xdr:rowOff>
    </xdr:from>
    <xdr:to>
      <xdr:col>10</xdr:col>
      <xdr:colOff>485775</xdr:colOff>
      <xdr:row>17</xdr:row>
      <xdr:rowOff>0</xdr:rowOff>
    </xdr:to>
    <xdr:graphicFrame macro="">
      <xdr:nvGraphicFramePr>
        <xdr:cNvPr id="14" name="Chart 13">
          <a:extLst>
            <a:ext uri="{FF2B5EF4-FFF2-40B4-BE49-F238E27FC236}">
              <a16:creationId xmlns:a16="http://schemas.microsoft.com/office/drawing/2014/main" id="{D27EC370-53E6-4EEA-BBE5-3C98CBEC4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238125</xdr:colOff>
      <xdr:row>25</xdr:row>
      <xdr:rowOff>95251</xdr:rowOff>
    </xdr:from>
    <xdr:to>
      <xdr:col>1</xdr:col>
      <xdr:colOff>1504950</xdr:colOff>
      <xdr:row>32</xdr:row>
      <xdr:rowOff>123825</xdr:rowOff>
    </xdr:to>
    <mc:AlternateContent xmlns:mc="http://schemas.openxmlformats.org/markup-compatibility/2006" xmlns:a14="http://schemas.microsoft.com/office/drawing/2010/main">
      <mc:Choice Requires="a14">
        <xdr:graphicFrame macro="">
          <xdr:nvGraphicFramePr>
            <xdr:cNvPr id="20" name="Rating 1">
              <a:extLst>
                <a:ext uri="{FF2B5EF4-FFF2-40B4-BE49-F238E27FC236}">
                  <a16:creationId xmlns:a16="http://schemas.microsoft.com/office/drawing/2014/main" id="{4BD64448-A6D2-48C6-9C26-5F9BEEE56871}"/>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495300" y="4857751"/>
              <a:ext cx="1266825" cy="1362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171451</xdr:colOff>
      <xdr:row>33</xdr:row>
      <xdr:rowOff>76201</xdr:rowOff>
    </xdr:from>
    <xdr:to>
      <xdr:col>1</xdr:col>
      <xdr:colOff>1495425</xdr:colOff>
      <xdr:row>40</xdr:row>
      <xdr:rowOff>152400</xdr:rowOff>
    </xdr:to>
    <mc:AlternateContent xmlns:mc="http://schemas.openxmlformats.org/markup-compatibility/2006" xmlns:a14="http://schemas.microsoft.com/office/drawing/2010/main">
      <mc:Choice Requires="a14">
        <xdr:graphicFrame macro="">
          <xdr:nvGraphicFramePr>
            <xdr:cNvPr id="23" name="Discount 1">
              <a:extLst>
                <a:ext uri="{FF2B5EF4-FFF2-40B4-BE49-F238E27FC236}">
                  <a16:creationId xmlns:a16="http://schemas.microsoft.com/office/drawing/2014/main" id="{2FE9F5B4-F02A-431D-8204-598AF543F488}"/>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428626" y="6362701"/>
              <a:ext cx="1323974"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142875</xdr:colOff>
      <xdr:row>41</xdr:row>
      <xdr:rowOff>19050</xdr:rowOff>
    </xdr:from>
    <xdr:to>
      <xdr:col>1</xdr:col>
      <xdr:colOff>1554480</xdr:colOff>
      <xdr:row>49</xdr:row>
      <xdr:rowOff>60959</xdr:rowOff>
    </xdr:to>
    <mc:AlternateContent xmlns:mc="http://schemas.openxmlformats.org/markup-compatibility/2006" xmlns:a14="http://schemas.microsoft.com/office/drawing/2010/main">
      <mc:Choice Requires="a14">
        <xdr:graphicFrame macro="">
          <xdr:nvGraphicFramePr>
            <xdr:cNvPr id="24" name="Product 1">
              <a:extLst>
                <a:ext uri="{FF2B5EF4-FFF2-40B4-BE49-F238E27FC236}">
                  <a16:creationId xmlns:a16="http://schemas.microsoft.com/office/drawing/2014/main" id="{2B0E9BC2-06DF-4FDF-963F-6AD08544507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00050" y="7829551"/>
              <a:ext cx="1419225"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504825</xdr:colOff>
      <xdr:row>2</xdr:row>
      <xdr:rowOff>104775</xdr:rowOff>
    </xdr:from>
    <xdr:to>
      <xdr:col>26</xdr:col>
      <xdr:colOff>200025</xdr:colOff>
      <xdr:row>16</xdr:row>
      <xdr:rowOff>180975</xdr:rowOff>
    </xdr:to>
    <xdr:graphicFrame macro="">
      <xdr:nvGraphicFramePr>
        <xdr:cNvPr id="26" name="Chart 25">
          <a:extLst>
            <a:ext uri="{FF2B5EF4-FFF2-40B4-BE49-F238E27FC236}">
              <a16:creationId xmlns:a16="http://schemas.microsoft.com/office/drawing/2014/main" id="{848A2EF1-7D5A-470D-9A90-0A383163D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152400</xdr:colOff>
      <xdr:row>22</xdr:row>
      <xdr:rowOff>152400</xdr:rowOff>
    </xdr:from>
    <xdr:to>
      <xdr:col>10</xdr:col>
      <xdr:colOff>457200</xdr:colOff>
      <xdr:row>37</xdr:row>
      <xdr:rowOff>38100</xdr:rowOff>
    </xdr:to>
    <xdr:graphicFrame macro="">
      <xdr:nvGraphicFramePr>
        <xdr:cNvPr id="27" name="Chart 26">
          <a:extLst>
            <a:ext uri="{FF2B5EF4-FFF2-40B4-BE49-F238E27FC236}">
              <a16:creationId xmlns:a16="http://schemas.microsoft.com/office/drawing/2014/main" id="{7159DB8C-2CF0-4AA2-B493-336E27AE6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161925</xdr:colOff>
      <xdr:row>22</xdr:row>
      <xdr:rowOff>171450</xdr:rowOff>
    </xdr:from>
    <xdr:to>
      <xdr:col>18</xdr:col>
      <xdr:colOff>466725</xdr:colOff>
      <xdr:row>37</xdr:row>
      <xdr:rowOff>57150</xdr:rowOff>
    </xdr:to>
    <xdr:graphicFrame macro="">
      <xdr:nvGraphicFramePr>
        <xdr:cNvPr id="29" name="Chart 28">
          <a:extLst>
            <a:ext uri="{FF2B5EF4-FFF2-40B4-BE49-F238E27FC236}">
              <a16:creationId xmlns:a16="http://schemas.microsoft.com/office/drawing/2014/main" id="{2C224F64-4840-4B34-AF57-0081774F6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289560</xdr:colOff>
      <xdr:row>22</xdr:row>
      <xdr:rowOff>167640</xdr:rowOff>
    </xdr:from>
    <xdr:to>
      <xdr:col>26</xdr:col>
      <xdr:colOff>594360</xdr:colOff>
      <xdr:row>37</xdr:row>
      <xdr:rowOff>60960</xdr:rowOff>
    </xdr:to>
    <xdr:graphicFrame macro="">
      <xdr:nvGraphicFramePr>
        <xdr:cNvPr id="25" name="Chart 24">
          <a:extLst>
            <a:ext uri="{FF2B5EF4-FFF2-40B4-BE49-F238E27FC236}">
              <a16:creationId xmlns:a16="http://schemas.microsoft.com/office/drawing/2014/main" id="{8C22301B-1266-4376-A70C-A3B1E7B2A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4.701583912036" createdVersion="7" refreshedVersion="7" minRefreshableVersion="3" recordCount="113" xr:uid="{395DFAB1-FBA6-42DA-9123-EE53E89C1872}">
  <cacheSource type="worksheet">
    <worksheetSource ref="A1:I114" sheet="Data"/>
  </cacheSource>
  <cacheFields count="9">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2">
      <sharedItems containsSemiMixedTypes="0" containsString="0" containsNumber="1" minValue="38" maxValue="3750" count="104">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n v="1172.4285714285713"/>
      </sharedItems>
    </cacheField>
    <cacheField name="old price" numFmtId="2">
      <sharedItems containsSemiMixedTypes="0" containsString="0" containsNumber="1" minValue="80" maxValue="6143"/>
    </cacheField>
    <cacheField name="Discount" numFmtId="9">
      <sharedItems containsSemiMixedTypes="0" containsString="0"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776785714285715"/>
      </sharedItems>
    </cacheField>
    <cacheField name="Absolute Discount" numFmtId="2">
      <sharedItems containsString="0" containsBlank="1" containsNumber="1" containsInteger="1" minValue="24" maxValue="2585"/>
    </cacheField>
    <cacheField name="Review" numFmtId="0">
      <sharedItems containsString="0" containsBlank="1" containsNumber="1" containsInteger="1" minValue="-69" maxValue="-1"/>
    </cacheField>
    <cacheField name="Rating" numFmtId="2">
      <sharedItems containsString="0" containsBlank="1" containsNumber="1" minValue="2" maxValue="5" count="24">
        <n v="4.5"/>
        <n v="4.0999999999999996"/>
        <n v="4.5999999999999996"/>
        <n v="4.7"/>
        <n v="4.8"/>
        <n v="4"/>
        <n v="3.8"/>
        <n v="4.2"/>
        <n v="5"/>
        <n v="3.3"/>
        <m/>
        <n v="4.4000000000000004"/>
        <n v="4.3"/>
        <n v="2.5"/>
        <n v="3"/>
        <n v="2.1"/>
        <n v="2.8"/>
        <n v="2.7"/>
        <n v="2.9"/>
        <n v="2.2000000000000002"/>
        <n v="2.2999999999999998"/>
        <n v="2.6"/>
        <n v="2"/>
        <n v="3.8894736842105258"/>
      </sharedItems>
    </cacheField>
    <cacheField name="Products rating" numFmtId="0">
      <sharedItems containsBlank="1" count="4">
        <s v="Excellent"/>
        <s v="Average"/>
        <s v="Poor"/>
        <m/>
      </sharedItems>
    </cacheField>
    <cacheField name="Discount %" numFmtId="0">
      <sharedItems containsBlank="1" count="4">
        <s v="Low Discount"/>
        <s v="High Discount"/>
        <s v="Medium Discount"/>
        <m/>
      </sharedItems>
    </cacheField>
  </cacheFields>
  <extLst>
    <ext xmlns:x14="http://schemas.microsoft.com/office/spreadsheetml/2009/9/main" uri="{725AE2AE-9491-48be-B2B4-4EB974FC3084}">
      <x14:pivotCacheDefinition pivotCacheId="1105916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x v="0"/>
    <n v="1525"/>
    <x v="0"/>
    <n v="575"/>
    <n v="-2"/>
    <x v="0"/>
    <x v="0"/>
    <x v="0"/>
  </r>
  <r>
    <x v="1"/>
    <x v="1"/>
    <n v="999"/>
    <x v="1"/>
    <n v="472"/>
    <n v="-14"/>
    <x v="1"/>
    <x v="0"/>
    <x v="1"/>
  </r>
  <r>
    <x v="2"/>
    <x v="2"/>
    <n v="2923"/>
    <x v="2"/>
    <n v="724"/>
    <n v="-24"/>
    <x v="2"/>
    <x v="0"/>
    <x v="0"/>
  </r>
  <r>
    <x v="3"/>
    <x v="3"/>
    <n v="2499"/>
    <x v="3"/>
    <n v="919"/>
    <n v="-7"/>
    <x v="3"/>
    <x v="0"/>
    <x v="0"/>
  </r>
  <r>
    <x v="4"/>
    <x v="4"/>
    <n v="2356"/>
    <x v="4"/>
    <n v="616"/>
    <n v="-5"/>
    <x v="4"/>
    <x v="0"/>
    <x v="0"/>
  </r>
  <r>
    <x v="5"/>
    <x v="5"/>
    <n v="3290"/>
    <x v="5"/>
    <n v="291"/>
    <n v="-15"/>
    <x v="5"/>
    <x v="1"/>
    <x v="0"/>
  </r>
  <r>
    <x v="6"/>
    <x v="6"/>
    <n v="3032"/>
    <x v="6"/>
    <n v="713"/>
    <n v="-55"/>
    <x v="2"/>
    <x v="0"/>
    <x v="0"/>
  </r>
  <r>
    <x v="7"/>
    <x v="7"/>
    <n v="1580"/>
    <x v="3"/>
    <n v="592"/>
    <n v="-2"/>
    <x v="5"/>
    <x v="1"/>
    <x v="0"/>
  </r>
  <r>
    <x v="8"/>
    <x v="8"/>
    <n v="2800"/>
    <x v="7"/>
    <n v="1526"/>
    <n v="-5"/>
    <x v="4"/>
    <x v="0"/>
    <x v="1"/>
  </r>
  <r>
    <x v="9"/>
    <x v="9"/>
    <n v="2929"/>
    <x v="8"/>
    <n v="1329"/>
    <n v="-5"/>
    <x v="6"/>
    <x v="1"/>
    <x v="1"/>
  </r>
  <r>
    <x v="10"/>
    <x v="10"/>
    <n v="999"/>
    <x v="9"/>
    <n v="200"/>
    <n v="-12"/>
    <x v="1"/>
    <x v="0"/>
    <x v="0"/>
  </r>
  <r>
    <x v="11"/>
    <x v="11"/>
    <n v="1500"/>
    <x v="10"/>
    <n v="510"/>
    <n v="-39"/>
    <x v="3"/>
    <x v="0"/>
    <x v="0"/>
  </r>
  <r>
    <x v="12"/>
    <x v="12"/>
    <n v="1035"/>
    <x v="1"/>
    <n v="483"/>
    <n v="-12"/>
    <x v="4"/>
    <x v="0"/>
    <x v="1"/>
  </r>
  <r>
    <x v="13"/>
    <x v="13"/>
    <n v="860"/>
    <x v="11"/>
    <n v="359"/>
    <n v="-6"/>
    <x v="0"/>
    <x v="0"/>
    <x v="1"/>
  </r>
  <r>
    <x v="14"/>
    <x v="14"/>
    <n v="2499"/>
    <x v="12"/>
    <n v="819"/>
    <n v="-9"/>
    <x v="7"/>
    <x v="0"/>
    <x v="0"/>
  </r>
  <r>
    <x v="15"/>
    <x v="15"/>
    <n v="684"/>
    <x v="13"/>
    <n v="352"/>
    <n v="-2"/>
    <x v="8"/>
    <x v="0"/>
    <x v="1"/>
  </r>
  <r>
    <x v="16"/>
    <x v="16"/>
    <n v="360"/>
    <x v="14"/>
    <n v="165"/>
    <n v="-2"/>
    <x v="8"/>
    <x v="0"/>
    <x v="1"/>
  </r>
  <r>
    <x v="17"/>
    <x v="17"/>
    <n v="3971"/>
    <x v="15"/>
    <n v="1946"/>
    <n v="-3"/>
    <x v="8"/>
    <x v="0"/>
    <x v="1"/>
  </r>
  <r>
    <x v="18"/>
    <x v="5"/>
    <n v="3699"/>
    <x v="16"/>
    <n v="700"/>
    <n v="-5"/>
    <x v="2"/>
    <x v="0"/>
    <x v="0"/>
  </r>
  <r>
    <x v="19"/>
    <x v="18"/>
    <n v="1966"/>
    <x v="15"/>
    <n v="968"/>
    <n v="-44"/>
    <x v="2"/>
    <x v="0"/>
    <x v="1"/>
  </r>
  <r>
    <x v="20"/>
    <x v="19"/>
    <n v="80"/>
    <x v="17"/>
    <n v="42"/>
    <n v="-13"/>
    <x v="9"/>
    <x v="1"/>
    <x v="1"/>
  </r>
  <r>
    <x v="21"/>
    <x v="20"/>
    <n v="3220"/>
    <x v="11"/>
    <n v="1360"/>
    <m/>
    <x v="10"/>
    <x v="2"/>
    <x v="1"/>
  </r>
  <r>
    <x v="22"/>
    <x v="21"/>
    <n v="1350"/>
    <x v="18"/>
    <n v="470"/>
    <n v="-6"/>
    <x v="5"/>
    <x v="1"/>
    <x v="0"/>
  </r>
  <r>
    <x v="23"/>
    <x v="22"/>
    <n v="2150"/>
    <x v="19"/>
    <n v="500"/>
    <n v="-14"/>
    <x v="11"/>
    <x v="0"/>
    <x v="0"/>
  </r>
  <r>
    <x v="24"/>
    <x v="23"/>
    <n v="4500"/>
    <x v="20"/>
    <n v="2452"/>
    <n v="-7"/>
    <x v="12"/>
    <x v="0"/>
    <x v="1"/>
  </r>
  <r>
    <x v="25"/>
    <x v="24"/>
    <n v="647"/>
    <x v="18"/>
    <n v="227"/>
    <n v="-49"/>
    <x v="2"/>
    <x v="0"/>
    <x v="0"/>
  </r>
  <r>
    <x v="26"/>
    <x v="25"/>
    <n v="3520"/>
    <x v="21"/>
    <n v="640"/>
    <n v="-12"/>
    <x v="6"/>
    <x v="1"/>
    <x v="0"/>
  </r>
  <r>
    <x v="27"/>
    <x v="26"/>
    <n v="1990"/>
    <x v="22"/>
    <n v="640"/>
    <n v="-13"/>
    <x v="6"/>
    <x v="1"/>
    <x v="0"/>
  </r>
  <r>
    <x v="28"/>
    <x v="27"/>
    <n v="2499"/>
    <x v="23"/>
    <n v="741"/>
    <n v="-20"/>
    <x v="1"/>
    <x v="0"/>
    <x v="0"/>
  </r>
  <r>
    <x v="29"/>
    <x v="28"/>
    <n v="4080"/>
    <x v="14"/>
    <n v="1880"/>
    <m/>
    <x v="10"/>
    <x v="2"/>
    <x v="1"/>
  </r>
  <r>
    <x v="30"/>
    <x v="29"/>
    <n v="382"/>
    <x v="24"/>
    <n v="197"/>
    <n v="-9"/>
    <x v="12"/>
    <x v="0"/>
    <x v="1"/>
  </r>
  <r>
    <x v="31"/>
    <x v="30"/>
    <n v="1490"/>
    <x v="10"/>
    <n v="510"/>
    <n v="-12"/>
    <x v="3"/>
    <x v="0"/>
    <x v="0"/>
  </r>
  <r>
    <x v="32"/>
    <x v="31"/>
    <n v="3490"/>
    <x v="25"/>
    <n v="1670"/>
    <n v="-9"/>
    <x v="12"/>
    <x v="0"/>
    <x v="1"/>
  </r>
  <r>
    <x v="33"/>
    <x v="32"/>
    <n v="2650"/>
    <x v="26"/>
    <n v="710"/>
    <n v="-20"/>
    <x v="3"/>
    <x v="0"/>
    <x v="0"/>
  </r>
  <r>
    <x v="34"/>
    <x v="33"/>
    <n v="2699"/>
    <x v="26"/>
    <n v="719"/>
    <n v="-32"/>
    <x v="0"/>
    <x v="0"/>
    <x v="0"/>
  </r>
  <r>
    <x v="35"/>
    <x v="34"/>
    <n v="2690"/>
    <x v="27"/>
    <n v="1070"/>
    <n v="-1"/>
    <x v="8"/>
    <x v="0"/>
    <x v="2"/>
  </r>
  <r>
    <x v="36"/>
    <x v="35"/>
    <n v="360"/>
    <x v="17"/>
    <n v="189"/>
    <n v="-2"/>
    <x v="8"/>
    <x v="0"/>
    <x v="1"/>
  </r>
  <r>
    <x v="37"/>
    <x v="36"/>
    <n v="656"/>
    <x v="28"/>
    <n v="267"/>
    <n v="-36"/>
    <x v="12"/>
    <x v="0"/>
    <x v="1"/>
  </r>
  <r>
    <x v="38"/>
    <x v="37"/>
    <n v="500"/>
    <x v="0"/>
    <m/>
    <n v="-2"/>
    <x v="0"/>
    <x v="0"/>
    <x v="0"/>
  </r>
  <r>
    <x v="39"/>
    <x v="38"/>
    <n v="4471"/>
    <x v="0"/>
    <n v="1721"/>
    <m/>
    <x v="10"/>
    <x v="2"/>
    <x v="0"/>
  </r>
  <r>
    <x v="40"/>
    <x v="39"/>
    <n v="931"/>
    <x v="15"/>
    <n v="456"/>
    <m/>
    <x v="10"/>
    <x v="2"/>
    <x v="1"/>
  </r>
  <r>
    <x v="41"/>
    <x v="40"/>
    <n v="476"/>
    <x v="29"/>
    <n v="238"/>
    <m/>
    <x v="10"/>
    <x v="2"/>
    <x v="1"/>
  </r>
  <r>
    <x v="42"/>
    <x v="41"/>
    <n v="1060"/>
    <x v="11"/>
    <n v="450"/>
    <m/>
    <x v="10"/>
    <x v="2"/>
    <x v="1"/>
  </r>
  <r>
    <x v="43"/>
    <x v="42"/>
    <n v="2169"/>
    <x v="30"/>
    <n v="37"/>
    <m/>
    <x v="10"/>
    <x v="2"/>
    <x v="0"/>
  </r>
  <r>
    <x v="44"/>
    <x v="43"/>
    <n v="2000"/>
    <x v="29"/>
    <n v="1001"/>
    <m/>
    <x v="10"/>
    <x v="2"/>
    <x v="1"/>
  </r>
  <r>
    <x v="45"/>
    <x v="44"/>
    <n v="1785"/>
    <x v="12"/>
    <n v="595"/>
    <m/>
    <x v="10"/>
    <x v="2"/>
    <x v="0"/>
  </r>
  <r>
    <x v="46"/>
    <x v="45"/>
    <n v="1316"/>
    <x v="15"/>
    <n v="645"/>
    <m/>
    <x v="10"/>
    <x v="2"/>
    <x v="1"/>
  </r>
  <r>
    <x v="47"/>
    <x v="46"/>
    <n v="1950"/>
    <x v="0"/>
    <n v="750"/>
    <m/>
    <x v="10"/>
    <x v="2"/>
    <x v="0"/>
  </r>
  <r>
    <x v="48"/>
    <x v="47"/>
    <n v="504"/>
    <x v="31"/>
    <n v="305"/>
    <m/>
    <x v="10"/>
    <x v="2"/>
    <x v="1"/>
  </r>
  <r>
    <x v="49"/>
    <x v="48"/>
    <n v="600"/>
    <x v="29"/>
    <n v="301"/>
    <m/>
    <x v="10"/>
    <x v="2"/>
    <x v="1"/>
  </r>
  <r>
    <x v="50"/>
    <x v="49"/>
    <n v="1699"/>
    <x v="30"/>
    <n v="39"/>
    <m/>
    <x v="10"/>
    <x v="2"/>
    <x v="0"/>
  </r>
  <r>
    <x v="51"/>
    <x v="48"/>
    <n v="384"/>
    <x v="32"/>
    <n v="85"/>
    <m/>
    <x v="10"/>
    <x v="2"/>
    <x v="0"/>
  </r>
  <r>
    <x v="52"/>
    <x v="50"/>
    <n v="1499"/>
    <x v="33"/>
    <n v="40"/>
    <m/>
    <x v="10"/>
    <x v="2"/>
    <x v="0"/>
  </r>
  <r>
    <x v="53"/>
    <x v="10"/>
    <n v="1343"/>
    <x v="28"/>
    <n v="544"/>
    <m/>
    <x v="10"/>
    <x v="2"/>
    <x v="1"/>
  </r>
  <r>
    <x v="54"/>
    <x v="51"/>
    <n v="900"/>
    <x v="8"/>
    <n v="401"/>
    <m/>
    <x v="10"/>
    <x v="2"/>
    <x v="1"/>
  </r>
  <r>
    <x v="55"/>
    <x v="52"/>
    <n v="1343"/>
    <x v="25"/>
    <n v="644"/>
    <m/>
    <x v="10"/>
    <x v="2"/>
    <x v="1"/>
  </r>
  <r>
    <x v="56"/>
    <x v="10"/>
    <n v="1567"/>
    <x v="15"/>
    <n v="768"/>
    <m/>
    <x v="10"/>
    <x v="2"/>
    <x v="1"/>
  </r>
  <r>
    <x v="57"/>
    <x v="53"/>
    <n v="3810"/>
    <x v="26"/>
    <n v="1011"/>
    <m/>
    <x v="10"/>
    <x v="2"/>
    <x v="0"/>
  </r>
  <r>
    <x v="54"/>
    <x v="54"/>
    <n v="896"/>
    <x v="7"/>
    <n v="497"/>
    <m/>
    <x v="10"/>
    <x v="2"/>
    <x v="1"/>
  </r>
  <r>
    <x v="58"/>
    <x v="55"/>
    <n v="2500"/>
    <x v="34"/>
    <n v="330"/>
    <n v="-6"/>
    <x v="13"/>
    <x v="2"/>
    <x v="0"/>
  </r>
  <r>
    <x v="59"/>
    <x v="56"/>
    <n v="986"/>
    <x v="20"/>
    <n v="528"/>
    <n v="-10"/>
    <x v="14"/>
    <x v="1"/>
    <x v="1"/>
  </r>
  <r>
    <x v="60"/>
    <x v="57"/>
    <n v="4700"/>
    <x v="7"/>
    <n v="2585"/>
    <n v="-13"/>
    <x v="15"/>
    <x v="2"/>
    <x v="1"/>
  </r>
  <r>
    <x v="61"/>
    <x v="58"/>
    <n v="873"/>
    <x v="15"/>
    <n v="428"/>
    <n v="-69"/>
    <x v="16"/>
    <x v="2"/>
    <x v="1"/>
  </r>
  <r>
    <x v="62"/>
    <x v="59"/>
    <n v="680"/>
    <x v="24"/>
    <n v="355"/>
    <n v="-15"/>
    <x v="17"/>
    <x v="2"/>
    <x v="1"/>
  </r>
  <r>
    <x v="63"/>
    <x v="60"/>
    <n v="1555"/>
    <x v="32"/>
    <n v="335"/>
    <n v="-16"/>
    <x v="18"/>
    <x v="2"/>
    <x v="0"/>
  </r>
  <r>
    <x v="64"/>
    <x v="11"/>
    <n v="1814"/>
    <x v="8"/>
    <n v="824"/>
    <n v="-6"/>
    <x v="19"/>
    <x v="2"/>
    <x v="1"/>
  </r>
  <r>
    <x v="65"/>
    <x v="61"/>
    <n v="2000"/>
    <x v="29"/>
    <n v="1000"/>
    <n v="-7"/>
    <x v="20"/>
    <x v="2"/>
    <x v="1"/>
  </r>
  <r>
    <x v="66"/>
    <x v="62"/>
    <n v="6143"/>
    <x v="35"/>
    <n v="2393"/>
    <n v="-5"/>
    <x v="14"/>
    <x v="1"/>
    <x v="0"/>
  </r>
  <r>
    <x v="67"/>
    <x v="63"/>
    <n v="700"/>
    <x v="8"/>
    <n v="318"/>
    <n v="-17"/>
    <x v="21"/>
    <x v="2"/>
    <x v="1"/>
  </r>
  <r>
    <x v="68"/>
    <x v="64"/>
    <n v="3240"/>
    <x v="36"/>
    <n v="940"/>
    <n v="-5"/>
    <x v="14"/>
    <x v="1"/>
    <x v="0"/>
  </r>
  <r>
    <x v="69"/>
    <x v="65"/>
    <n v="602"/>
    <x v="37"/>
    <n v="257"/>
    <n v="-6"/>
    <x v="20"/>
    <x v="2"/>
    <x v="1"/>
  </r>
  <r>
    <x v="70"/>
    <x v="66"/>
    <n v="899"/>
    <x v="37"/>
    <n v="390"/>
    <n v="-5"/>
    <x v="14"/>
    <x v="1"/>
    <x v="1"/>
  </r>
  <r>
    <x v="71"/>
    <x v="67"/>
    <n v="1814"/>
    <x v="1"/>
    <n v="846"/>
    <n v="-6"/>
    <x v="19"/>
    <x v="2"/>
    <x v="1"/>
  </r>
  <r>
    <x v="72"/>
    <x v="68"/>
    <n v="2988"/>
    <x v="1"/>
    <n v="1418"/>
    <n v="-7"/>
    <x v="15"/>
    <x v="2"/>
    <x v="1"/>
  </r>
  <r>
    <x v="73"/>
    <x v="69"/>
    <n v="1485"/>
    <x v="1"/>
    <n v="695"/>
    <m/>
    <x v="10"/>
    <x v="2"/>
    <x v="1"/>
  </r>
  <r>
    <x v="74"/>
    <x v="70"/>
    <n v="1200"/>
    <x v="37"/>
    <n v="510"/>
    <m/>
    <x v="10"/>
    <x v="2"/>
    <x v="1"/>
  </r>
  <r>
    <x v="75"/>
    <x v="71"/>
    <n v="1799"/>
    <x v="38"/>
    <n v="67"/>
    <m/>
    <x v="10"/>
    <x v="2"/>
    <x v="0"/>
  </r>
  <r>
    <x v="76"/>
    <x v="72"/>
    <n v="450"/>
    <x v="15"/>
    <n v="220"/>
    <m/>
    <x v="10"/>
    <x v="2"/>
    <x v="1"/>
  </r>
  <r>
    <x v="77"/>
    <x v="73"/>
    <n v="2199"/>
    <x v="14"/>
    <n v="1010"/>
    <n v="-1"/>
    <x v="14"/>
    <x v="1"/>
    <x v="1"/>
  </r>
  <r>
    <x v="78"/>
    <x v="74"/>
    <n v="1920"/>
    <x v="15"/>
    <n v="941"/>
    <n v="-1"/>
    <x v="8"/>
    <x v="0"/>
    <x v="1"/>
  </r>
  <r>
    <x v="79"/>
    <x v="75"/>
    <n v="2290"/>
    <x v="39"/>
    <n v="830"/>
    <m/>
    <x v="10"/>
    <x v="2"/>
    <x v="0"/>
  </r>
  <r>
    <x v="80"/>
    <x v="76"/>
    <n v="1699"/>
    <x v="30"/>
    <n v="33"/>
    <m/>
    <x v="10"/>
    <x v="2"/>
    <x v="0"/>
  </r>
  <r>
    <x v="81"/>
    <x v="77"/>
    <n v="647"/>
    <x v="15"/>
    <n v="317"/>
    <n v="-1"/>
    <x v="5"/>
    <x v="1"/>
    <x v="1"/>
  </r>
  <r>
    <x v="48"/>
    <x v="78"/>
    <n v="345"/>
    <x v="15"/>
    <n v="169"/>
    <m/>
    <x v="10"/>
    <x v="2"/>
    <x v="1"/>
  </r>
  <r>
    <x v="82"/>
    <x v="79"/>
    <n v="1699"/>
    <x v="40"/>
    <n v="233"/>
    <m/>
    <x v="10"/>
    <x v="2"/>
    <x v="0"/>
  </r>
  <r>
    <x v="83"/>
    <x v="80"/>
    <n v="537"/>
    <x v="15"/>
    <n v="263"/>
    <m/>
    <x v="10"/>
    <x v="2"/>
    <x v="1"/>
  </r>
  <r>
    <x v="84"/>
    <x v="10"/>
    <n v="900"/>
    <x v="41"/>
    <n v="101"/>
    <m/>
    <x v="10"/>
    <x v="2"/>
    <x v="0"/>
  </r>
  <r>
    <x v="56"/>
    <x v="81"/>
    <n v="1288"/>
    <x v="15"/>
    <n v="631"/>
    <m/>
    <x v="10"/>
    <x v="2"/>
    <x v="1"/>
  </r>
  <r>
    <x v="85"/>
    <x v="82"/>
    <n v="1699"/>
    <x v="40"/>
    <n v="231"/>
    <m/>
    <x v="10"/>
    <x v="2"/>
    <x v="0"/>
  </r>
  <r>
    <x v="86"/>
    <x v="83"/>
    <n v="1100"/>
    <x v="37"/>
    <n v="470"/>
    <m/>
    <x v="10"/>
    <x v="2"/>
    <x v="1"/>
  </r>
  <r>
    <x v="87"/>
    <x v="84"/>
    <n v="1700"/>
    <x v="29"/>
    <n v="850"/>
    <m/>
    <x v="10"/>
    <x v="2"/>
    <x v="1"/>
  </r>
  <r>
    <x v="88"/>
    <x v="85"/>
    <n v="2500"/>
    <x v="25"/>
    <n v="1200"/>
    <m/>
    <x v="10"/>
    <x v="2"/>
    <x v="1"/>
  </r>
  <r>
    <x v="89"/>
    <x v="86"/>
    <n v="200"/>
    <x v="25"/>
    <n v="95"/>
    <m/>
    <x v="10"/>
    <x v="2"/>
    <x v="1"/>
  </r>
  <r>
    <x v="90"/>
    <x v="87"/>
    <n v="1699"/>
    <x v="1"/>
    <n v="800"/>
    <m/>
    <x v="10"/>
    <x v="2"/>
    <x v="1"/>
  </r>
  <r>
    <x v="91"/>
    <x v="46"/>
    <n v="2400"/>
    <x v="29"/>
    <n v="1200"/>
    <m/>
    <x v="10"/>
    <x v="2"/>
    <x v="1"/>
  </r>
  <r>
    <x v="92"/>
    <x v="88"/>
    <n v="1660"/>
    <x v="42"/>
    <n v="134"/>
    <m/>
    <x v="10"/>
    <x v="2"/>
    <x v="0"/>
  </r>
  <r>
    <x v="93"/>
    <x v="89"/>
    <n v="1499"/>
    <x v="30"/>
    <n v="37"/>
    <m/>
    <x v="10"/>
    <x v="2"/>
    <x v="0"/>
  </r>
  <r>
    <x v="94"/>
    <x v="90"/>
    <n v="486"/>
    <x v="15"/>
    <n v="238"/>
    <m/>
    <x v="10"/>
    <x v="2"/>
    <x v="1"/>
  </r>
  <r>
    <x v="95"/>
    <x v="91"/>
    <n v="3699"/>
    <x v="38"/>
    <n v="153"/>
    <m/>
    <x v="10"/>
    <x v="2"/>
    <x v="0"/>
  </r>
  <r>
    <x v="96"/>
    <x v="92"/>
    <n v="1029"/>
    <x v="15"/>
    <n v="504"/>
    <m/>
    <x v="10"/>
    <x v="2"/>
    <x v="1"/>
  </r>
  <r>
    <x v="97"/>
    <x v="93"/>
    <n v="1874"/>
    <x v="11"/>
    <n v="794"/>
    <m/>
    <x v="10"/>
    <x v="2"/>
    <x v="1"/>
  </r>
  <r>
    <x v="98"/>
    <x v="94"/>
    <n v="4588"/>
    <x v="43"/>
    <n v="948"/>
    <n v="-1"/>
    <x v="8"/>
    <x v="0"/>
    <x v="0"/>
  </r>
  <r>
    <x v="99"/>
    <x v="95"/>
    <n v="2420"/>
    <x v="28"/>
    <n v="1000"/>
    <m/>
    <x v="10"/>
    <x v="2"/>
    <x v="1"/>
  </r>
  <r>
    <x v="100"/>
    <x v="96"/>
    <n v="1899"/>
    <x v="44"/>
    <n v="24"/>
    <m/>
    <x v="10"/>
    <x v="2"/>
    <x v="0"/>
  </r>
  <r>
    <x v="101"/>
    <x v="97"/>
    <n v="260"/>
    <x v="6"/>
    <n v="62"/>
    <m/>
    <x v="10"/>
    <x v="2"/>
    <x v="0"/>
  </r>
  <r>
    <x v="102"/>
    <x v="98"/>
    <n v="1737"/>
    <x v="10"/>
    <n v="587"/>
    <m/>
    <x v="10"/>
    <x v="2"/>
    <x v="0"/>
  </r>
  <r>
    <x v="103"/>
    <x v="44"/>
    <n v="1810"/>
    <x v="10"/>
    <n v="620"/>
    <m/>
    <x v="10"/>
    <x v="2"/>
    <x v="0"/>
  </r>
  <r>
    <x v="104"/>
    <x v="99"/>
    <n v="1699"/>
    <x v="30"/>
    <n v="41"/>
    <m/>
    <x v="10"/>
    <x v="2"/>
    <x v="0"/>
  </r>
  <r>
    <x v="105"/>
    <x v="100"/>
    <n v="1799"/>
    <x v="30"/>
    <n v="31"/>
    <m/>
    <x v="10"/>
    <x v="2"/>
    <x v="0"/>
  </r>
  <r>
    <x v="106"/>
    <x v="47"/>
    <n v="553"/>
    <x v="45"/>
    <n v="354"/>
    <m/>
    <x v="10"/>
    <x v="2"/>
    <x v="1"/>
  </r>
  <r>
    <x v="107"/>
    <x v="101"/>
    <n v="900"/>
    <x v="29"/>
    <n v="450"/>
    <n v="-1"/>
    <x v="22"/>
    <x v="2"/>
    <x v="1"/>
  </r>
  <r>
    <x v="108"/>
    <x v="102"/>
    <n v="320"/>
    <x v="1"/>
    <n v="151"/>
    <m/>
    <x v="10"/>
    <x v="2"/>
    <x v="1"/>
  </r>
  <r>
    <x v="109"/>
    <x v="103"/>
    <n v="1791.4642857142858"/>
    <x v="46"/>
    <m/>
    <m/>
    <x v="23"/>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B25E79-68E9-4D10-BBA4-ADE86B93474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67:D471" firstHeaderRow="0" firstDataRow="1" firstDataCol="1"/>
  <pivotFields count="9">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h="1" x="109"/>
        <item t="default"/>
      </items>
    </pivotField>
    <pivotField numFmtId="2" showAll="0"/>
    <pivotField numFmtId="2" showAll="0"/>
    <pivotField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showAll="0"/>
    <pivotField dataField="1" showAll="0">
      <items count="25">
        <item x="22"/>
        <item x="15"/>
        <item x="19"/>
        <item x="20"/>
        <item x="13"/>
        <item x="21"/>
        <item x="17"/>
        <item x="16"/>
        <item x="18"/>
        <item x="14"/>
        <item x="9"/>
        <item x="6"/>
        <item x="23"/>
        <item x="5"/>
        <item x="1"/>
        <item x="7"/>
        <item x="12"/>
        <item x="11"/>
        <item x="0"/>
        <item x="2"/>
        <item x="3"/>
        <item x="4"/>
        <item x="8"/>
        <item x="10"/>
        <item t="default"/>
      </items>
    </pivotField>
    <pivotField dataField="1" showAll="0">
      <items count="5">
        <item x="1"/>
        <item x="0"/>
        <item x="2"/>
        <item h="1" x="3"/>
        <item t="default"/>
      </items>
    </pivotField>
    <pivotField axis="axisRow" showAll="0">
      <items count="5">
        <item x="1"/>
        <item x="0"/>
        <item x="2"/>
        <item h="1" x="3"/>
        <item t="default"/>
      </items>
    </pivotField>
  </pivotFields>
  <rowFields count="1">
    <field x="8"/>
  </rowFields>
  <rowItems count="4">
    <i>
      <x/>
    </i>
    <i>
      <x v="1"/>
    </i>
    <i>
      <x v="2"/>
    </i>
    <i t="grand">
      <x/>
    </i>
  </rowItems>
  <colFields count="1">
    <field x="-2"/>
  </colFields>
  <colItems count="3">
    <i>
      <x/>
    </i>
    <i i="1">
      <x v="1"/>
    </i>
    <i i="2">
      <x v="2"/>
    </i>
  </colItems>
  <dataFields count="3">
    <dataField name="Count of Product" fld="0" subtotal="count" baseField="0" baseItem="0"/>
    <dataField name="Sum of Rating" fld="6" baseField="0" baseItem="0"/>
    <dataField name="Count of Products rating" fld="7"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FFECE4-9FDB-4F51-A046-A44C60D1999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53:B463" firstHeaderRow="1" firstDataRow="1" firstDataCol="1"/>
  <pivotFields count="9">
    <pivotField axis="axisRow" showAll="0"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h="1" x="109"/>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showAll="0"/>
    <pivotField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Fields count="1">
    <field x="0"/>
  </rowFields>
  <rowItems count="110">
    <i>
      <x v="53"/>
    </i>
    <i>
      <x v="99"/>
    </i>
    <i>
      <x v="39"/>
    </i>
    <i>
      <x v="31"/>
    </i>
    <i>
      <x v="70"/>
    </i>
    <i>
      <x v="30"/>
    </i>
    <i>
      <x v="67"/>
    </i>
    <i>
      <x v="84"/>
    </i>
    <i>
      <x v="20"/>
    </i>
    <i>
      <x v="52"/>
    </i>
    <i>
      <x v="64"/>
    </i>
    <i>
      <x v="60"/>
    </i>
    <i>
      <x v="40"/>
    </i>
    <i>
      <x v="50"/>
    </i>
    <i>
      <x v="17"/>
    </i>
    <i>
      <x v="79"/>
    </i>
    <i>
      <x v="104"/>
    </i>
    <i>
      <x v="13"/>
    </i>
    <i>
      <x v="46"/>
    </i>
    <i>
      <x v="102"/>
    </i>
    <i>
      <x v="21"/>
    </i>
    <i>
      <x v="68"/>
    </i>
    <i>
      <x v="42"/>
    </i>
    <i>
      <x v="18"/>
    </i>
    <i>
      <x v="48"/>
    </i>
    <i>
      <x v="63"/>
    </i>
    <i>
      <x v="23"/>
    </i>
    <i>
      <x v="5"/>
    </i>
    <i>
      <x v="34"/>
    </i>
    <i>
      <x v="44"/>
    </i>
    <i>
      <x v="47"/>
    </i>
    <i>
      <x v="96"/>
    </i>
    <i>
      <x v="94"/>
    </i>
    <i>
      <x v="72"/>
    </i>
    <i>
      <x v="51"/>
    </i>
    <i>
      <x v="22"/>
    </i>
    <i>
      <x v="32"/>
    </i>
    <i>
      <x v="77"/>
    </i>
    <i>
      <x v="15"/>
    </i>
    <i>
      <x v="35"/>
    </i>
    <i>
      <x v="45"/>
    </i>
    <i>
      <x v="58"/>
    </i>
    <i>
      <x v="82"/>
    </i>
    <i>
      <x v="87"/>
    </i>
    <i>
      <x v="76"/>
    </i>
    <i>
      <x v="38"/>
    </i>
    <i>
      <x v="41"/>
    </i>
    <i>
      <x v="7"/>
    </i>
    <i>
      <x v="108"/>
    </i>
    <i>
      <x v="19"/>
    </i>
    <i>
      <x v="106"/>
    </i>
    <i>
      <x v="81"/>
    </i>
    <i>
      <x v="36"/>
    </i>
    <i>
      <x v="24"/>
    </i>
    <i>
      <x v="43"/>
    </i>
    <i>
      <x v="69"/>
    </i>
    <i>
      <x v="37"/>
    </i>
    <i>
      <x v="95"/>
    </i>
    <i>
      <x v="55"/>
    </i>
    <i>
      <x v="57"/>
    </i>
    <i>
      <x v="16"/>
    </i>
    <i>
      <x v="2"/>
    </i>
    <i>
      <x v="14"/>
    </i>
    <i>
      <x/>
    </i>
    <i>
      <x v="71"/>
    </i>
    <i>
      <x v="107"/>
    </i>
    <i>
      <x v="56"/>
    </i>
    <i>
      <x v="29"/>
    </i>
    <i>
      <x v="59"/>
    </i>
    <i>
      <x v="73"/>
    </i>
    <i>
      <x v="49"/>
    </i>
    <i>
      <x v="4"/>
    </i>
    <i>
      <x v="74"/>
    </i>
    <i>
      <x v="1"/>
    </i>
    <i>
      <x v="80"/>
    </i>
    <i>
      <x v="33"/>
    </i>
    <i>
      <x v="3"/>
    </i>
    <i>
      <x v="26"/>
    </i>
    <i>
      <x v="66"/>
    </i>
    <i>
      <x v="28"/>
    </i>
    <i>
      <x v="6"/>
    </i>
    <i>
      <x v="27"/>
    </i>
    <i>
      <x v="90"/>
    </i>
    <i>
      <x v="91"/>
    </i>
    <i>
      <x v="9"/>
    </i>
    <i>
      <x v="8"/>
    </i>
    <i>
      <x v="61"/>
    </i>
    <i>
      <x v="101"/>
    </i>
    <i>
      <x v="89"/>
    </i>
    <i>
      <x v="65"/>
    </i>
    <i>
      <x v="62"/>
    </i>
    <i>
      <x v="75"/>
    </i>
    <i>
      <x v="93"/>
    </i>
    <i>
      <x v="85"/>
    </i>
    <i>
      <x v="105"/>
    </i>
    <i>
      <x v="25"/>
    </i>
    <i>
      <x v="86"/>
    </i>
    <i>
      <x v="11"/>
    </i>
    <i>
      <x v="103"/>
    </i>
    <i>
      <x v="78"/>
    </i>
    <i>
      <x v="54"/>
    </i>
    <i>
      <x v="83"/>
    </i>
    <i>
      <x v="98"/>
    </i>
    <i>
      <x v="97"/>
    </i>
    <i>
      <x v="92"/>
    </i>
    <i>
      <x v="100"/>
    </i>
    <i>
      <x v="88"/>
    </i>
    <i>
      <x v="10"/>
    </i>
    <i>
      <x v="12"/>
    </i>
    <i t="grand">
      <x/>
    </i>
  </rowItems>
  <colItems count="1">
    <i/>
  </colItems>
  <dataFields count="1">
    <dataField name="Sum of Discount"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5756DF-85BF-4E2B-8056-69CB02B36D3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41:B351" firstHeaderRow="1" firstDataRow="1" firstDataCol="1"/>
  <pivotFields count="9">
    <pivotField axis="axisRow" showAll="0"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h="1" x="109"/>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showAll="0"/>
    <pivotField dataField="1"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Fields count="1">
    <field x="0"/>
  </rowFields>
  <rowItems count="110">
    <i>
      <x v="52"/>
    </i>
    <i>
      <x v="68"/>
    </i>
    <i>
      <x v="65"/>
    </i>
    <i>
      <x v="40"/>
    </i>
    <i>
      <x v="87"/>
    </i>
    <i>
      <x v="44"/>
    </i>
    <i>
      <x v="57"/>
    </i>
    <i>
      <x v="22"/>
    </i>
    <i>
      <x v="90"/>
    </i>
    <i>
      <x v="70"/>
    </i>
    <i>
      <x v="4"/>
    </i>
    <i>
      <x v="1"/>
    </i>
    <i>
      <x v="28"/>
    </i>
    <i>
      <x v="107"/>
    </i>
    <i>
      <x v="8"/>
    </i>
    <i>
      <x v="75"/>
    </i>
    <i>
      <x v="18"/>
    </i>
    <i>
      <x v="91"/>
    </i>
    <i>
      <x v="59"/>
    </i>
    <i>
      <x v="27"/>
    </i>
    <i>
      <x v="69"/>
    </i>
    <i>
      <x/>
    </i>
    <i>
      <x v="2"/>
    </i>
    <i>
      <x v="61"/>
    </i>
    <i>
      <x v="72"/>
    </i>
    <i>
      <x v="95"/>
    </i>
    <i>
      <x v="67"/>
    </i>
    <i>
      <x v="60"/>
    </i>
    <i>
      <x v="80"/>
    </i>
    <i>
      <x v="77"/>
    </i>
    <i>
      <x v="26"/>
    </i>
    <i>
      <x v="62"/>
    </i>
    <i>
      <x v="56"/>
    </i>
    <i>
      <x v="63"/>
    </i>
    <i>
      <x v="11"/>
    </i>
    <i>
      <x v="73"/>
    </i>
    <i>
      <x v="7"/>
    </i>
    <i>
      <x v="93"/>
    </i>
    <i>
      <x v="3"/>
    </i>
    <i>
      <x v="20"/>
    </i>
    <i>
      <x v="84"/>
    </i>
    <i>
      <x v="66"/>
    </i>
    <i>
      <x v="16"/>
    </i>
    <i>
      <x v="76"/>
    </i>
    <i>
      <x v="108"/>
    </i>
    <i>
      <x v="101"/>
    </i>
    <i>
      <x v="5"/>
    </i>
    <i>
      <x v="64"/>
    </i>
    <i>
      <x v="38"/>
    </i>
    <i>
      <x v="25"/>
    </i>
    <i>
      <x v="106"/>
    </i>
    <i>
      <x v="17"/>
    </i>
    <i>
      <x v="41"/>
    </i>
    <i>
      <x v="35"/>
    </i>
    <i>
      <x v="58"/>
    </i>
    <i>
      <x v="30"/>
    </i>
    <i>
      <x v="104"/>
    </i>
    <i>
      <x v="88"/>
    </i>
    <i>
      <x v="19"/>
    </i>
    <i>
      <x v="96"/>
    </i>
    <i>
      <x v="55"/>
    </i>
    <i>
      <x v="39"/>
    </i>
    <i>
      <x v="47"/>
    </i>
    <i>
      <x v="92"/>
    </i>
    <i>
      <x v="23"/>
    </i>
    <i>
      <x v="100"/>
    </i>
    <i>
      <x v="24"/>
    </i>
    <i>
      <x v="82"/>
    </i>
    <i>
      <x v="48"/>
    </i>
    <i>
      <x v="86"/>
    </i>
    <i>
      <x v="12"/>
    </i>
    <i>
      <x v="51"/>
    </i>
    <i>
      <x v="49"/>
    </i>
    <i>
      <x v="94"/>
    </i>
    <i>
      <x v="13"/>
    </i>
    <i>
      <x v="98"/>
    </i>
    <i>
      <x v="14"/>
    </i>
    <i>
      <x v="102"/>
    </i>
    <i>
      <x v="29"/>
    </i>
    <i>
      <x v="81"/>
    </i>
    <i>
      <x v="10"/>
    </i>
    <i>
      <x v="83"/>
    </i>
    <i>
      <x v="31"/>
    </i>
    <i>
      <x v="85"/>
    </i>
    <i>
      <x v="32"/>
    </i>
    <i>
      <x v="15"/>
    </i>
    <i>
      <x v="71"/>
    </i>
    <i>
      <x v="89"/>
    </i>
    <i>
      <x v="33"/>
    </i>
    <i>
      <x v="42"/>
    </i>
    <i>
      <x v="34"/>
    </i>
    <i>
      <x v="43"/>
    </i>
    <i>
      <x v="74"/>
    </i>
    <i>
      <x v="6"/>
    </i>
    <i>
      <x v="45"/>
    </i>
    <i>
      <x v="97"/>
    </i>
    <i>
      <x v="36"/>
    </i>
    <i>
      <x v="99"/>
    </i>
    <i>
      <x v="37"/>
    </i>
    <i>
      <x v="46"/>
    </i>
    <i>
      <x v="103"/>
    </i>
    <i>
      <x v="21"/>
    </i>
    <i>
      <x v="105"/>
    </i>
    <i>
      <x v="78"/>
    </i>
    <i>
      <x v="9"/>
    </i>
    <i>
      <x v="79"/>
    </i>
    <i>
      <x v="50"/>
    </i>
    <i>
      <x v="53"/>
    </i>
    <i>
      <x v="54"/>
    </i>
    <i t="grand">
      <x/>
    </i>
  </rowItems>
  <colItems count="1">
    <i/>
  </colItems>
  <dataFields count="1">
    <dataField name="Sum of Rating" fld="6"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30B32B-D72F-4550-ABC1-BDA5A6B3897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37:C238" firstHeaderRow="0" firstDataRow="1" firstDataCol="0"/>
  <pivotFields count="9">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h="1" x="109"/>
        <item t="default"/>
      </items>
    </pivotField>
    <pivotField numFmtId="2" showAll="0"/>
    <pivotField numFmtId="2" showAll="0"/>
    <pivotField dataField="1"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showAll="0"/>
    <pivotField dataField="1"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Items count="1">
    <i/>
  </rowItems>
  <colFields count="1">
    <field x="-2"/>
  </colFields>
  <colItems count="3">
    <i>
      <x/>
    </i>
    <i i="1">
      <x v="1"/>
    </i>
    <i i="2">
      <x v="2"/>
    </i>
  </colItems>
  <dataFields count="3">
    <dataField name="Count of Product" fld="0" subtotal="count" baseField="0" baseItem="0"/>
    <dataField name="Sum of Rating" fld="6" baseField="0" baseItem="0"/>
    <dataField name="Sum of Dis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6ECC38-78DA-43A1-8FCA-9504202D213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24:D234" firstHeaderRow="0" firstDataRow="1" firstDataCol="1"/>
  <pivotFields count="9">
    <pivotField axis="axisRow" showAll="0"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h="1" x="109"/>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dataField="1" showAll="0"/>
    <pivotField dataField="1"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Fields count="1">
    <field x="0"/>
  </rowFields>
  <rowItems count="110">
    <i>
      <x v="52"/>
    </i>
    <i>
      <x v="68"/>
    </i>
    <i>
      <x v="65"/>
    </i>
    <i>
      <x v="40"/>
    </i>
    <i>
      <x v="87"/>
    </i>
    <i>
      <x v="44"/>
    </i>
    <i>
      <x v="57"/>
    </i>
    <i>
      <x v="22"/>
    </i>
    <i>
      <x v="90"/>
    </i>
    <i>
      <x v="70"/>
    </i>
    <i>
      <x v="4"/>
    </i>
    <i>
      <x v="1"/>
    </i>
    <i>
      <x v="28"/>
    </i>
    <i>
      <x v="107"/>
    </i>
    <i>
      <x v="8"/>
    </i>
    <i>
      <x v="75"/>
    </i>
    <i>
      <x v="18"/>
    </i>
    <i>
      <x v="91"/>
    </i>
    <i>
      <x v="59"/>
    </i>
    <i>
      <x v="27"/>
    </i>
    <i>
      <x v="69"/>
    </i>
    <i>
      <x/>
    </i>
    <i>
      <x v="2"/>
    </i>
    <i>
      <x v="61"/>
    </i>
    <i>
      <x v="72"/>
    </i>
    <i>
      <x v="95"/>
    </i>
    <i>
      <x v="67"/>
    </i>
    <i>
      <x v="60"/>
    </i>
    <i>
      <x v="80"/>
    </i>
    <i>
      <x v="77"/>
    </i>
    <i>
      <x v="26"/>
    </i>
    <i>
      <x v="62"/>
    </i>
    <i>
      <x v="56"/>
    </i>
    <i>
      <x v="63"/>
    </i>
    <i>
      <x v="11"/>
    </i>
    <i>
      <x v="73"/>
    </i>
    <i>
      <x v="7"/>
    </i>
    <i>
      <x v="93"/>
    </i>
    <i>
      <x v="3"/>
    </i>
    <i>
      <x v="20"/>
    </i>
    <i>
      <x v="84"/>
    </i>
    <i>
      <x v="66"/>
    </i>
    <i>
      <x v="16"/>
    </i>
    <i>
      <x v="76"/>
    </i>
    <i>
      <x v="108"/>
    </i>
    <i>
      <x v="101"/>
    </i>
    <i>
      <x v="5"/>
    </i>
    <i>
      <x v="64"/>
    </i>
    <i>
      <x v="38"/>
    </i>
    <i>
      <x v="25"/>
    </i>
    <i>
      <x v="106"/>
    </i>
    <i>
      <x v="17"/>
    </i>
    <i>
      <x v="41"/>
    </i>
    <i>
      <x v="35"/>
    </i>
    <i>
      <x v="58"/>
    </i>
    <i>
      <x v="30"/>
    </i>
    <i>
      <x v="104"/>
    </i>
    <i>
      <x v="88"/>
    </i>
    <i>
      <x v="19"/>
    </i>
    <i>
      <x v="96"/>
    </i>
    <i>
      <x v="55"/>
    </i>
    <i>
      <x v="39"/>
    </i>
    <i>
      <x v="47"/>
    </i>
    <i>
      <x v="92"/>
    </i>
    <i>
      <x v="23"/>
    </i>
    <i>
      <x v="100"/>
    </i>
    <i>
      <x v="24"/>
    </i>
    <i>
      <x v="82"/>
    </i>
    <i>
      <x v="48"/>
    </i>
    <i>
      <x v="86"/>
    </i>
    <i>
      <x v="12"/>
    </i>
    <i>
      <x v="51"/>
    </i>
    <i>
      <x v="49"/>
    </i>
    <i>
      <x v="94"/>
    </i>
    <i>
      <x v="13"/>
    </i>
    <i>
      <x v="98"/>
    </i>
    <i>
      <x v="14"/>
    </i>
    <i>
      <x v="102"/>
    </i>
    <i>
      <x v="29"/>
    </i>
    <i>
      <x v="81"/>
    </i>
    <i>
      <x v="10"/>
    </i>
    <i>
      <x v="83"/>
    </i>
    <i>
      <x v="31"/>
    </i>
    <i>
      <x v="85"/>
    </i>
    <i>
      <x v="32"/>
    </i>
    <i>
      <x v="15"/>
    </i>
    <i>
      <x v="71"/>
    </i>
    <i>
      <x v="89"/>
    </i>
    <i>
      <x v="33"/>
    </i>
    <i>
      <x v="42"/>
    </i>
    <i>
      <x v="34"/>
    </i>
    <i>
      <x v="43"/>
    </i>
    <i>
      <x v="74"/>
    </i>
    <i>
      <x v="6"/>
    </i>
    <i>
      <x v="45"/>
    </i>
    <i>
      <x v="97"/>
    </i>
    <i>
      <x v="36"/>
    </i>
    <i>
      <x v="99"/>
    </i>
    <i>
      <x v="37"/>
    </i>
    <i>
      <x v="46"/>
    </i>
    <i>
      <x v="103"/>
    </i>
    <i>
      <x v="21"/>
    </i>
    <i>
      <x v="105"/>
    </i>
    <i>
      <x v="78"/>
    </i>
    <i>
      <x v="9"/>
    </i>
    <i>
      <x v="79"/>
    </i>
    <i>
      <x v="50"/>
    </i>
    <i>
      <x v="53"/>
    </i>
    <i>
      <x v="54"/>
    </i>
    <i t="grand">
      <x/>
    </i>
  </rowItems>
  <colFields count="1">
    <field x="-2"/>
  </colFields>
  <colItems count="3">
    <i>
      <x/>
    </i>
    <i i="1">
      <x v="1"/>
    </i>
    <i i="2">
      <x v="2"/>
    </i>
  </colItems>
  <dataFields count="3">
    <dataField name="Average of Rating" fld="6" subtotal="average" baseField="0" baseItem="0"/>
    <dataField name="Average of Discount" fld="3" subtotal="average" baseField="0" baseItem="0"/>
    <dataField name="Sum of Review" fld="5" baseField="0"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74A334-4E56-410C-A045-BEB14292823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A10:C120" firstHeaderRow="0" firstDataRow="1" firstDataCol="1"/>
  <pivotFields count="9">
    <pivotField axis="axisRow"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h="1" x="109"/>
        <item t="default"/>
      </items>
    </pivotField>
    <pivotField numFmtId="2" showAll="0"/>
    <pivotField numFmtId="2" showAll="0"/>
    <pivotField dataField="1"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dataField="1" showAll="0"/>
    <pivotField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2">
    <i>
      <x/>
    </i>
    <i i="1">
      <x v="1"/>
    </i>
  </colItems>
  <dataFields count="2">
    <dataField name="Sum of Review" fld="5" baseField="0" baseItem="0"/>
    <dataField name="Sum of Discount" fld="3" baseField="0" baseItem="0"/>
  </dataFields>
  <chartFormats count="5">
    <chartFormat chart="16"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023750-6977-4938-A7FC-11F04FC2746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9">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h="1" x="109"/>
        <item t="default"/>
      </items>
    </pivotField>
    <pivotField numFmtId="2" showAll="0"/>
    <pivotField numFmtId="2" showAll="0"/>
    <pivotField dataField="1"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dataField="1" showAll="0"/>
    <pivotField dataField="1"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Items count="1">
    <i/>
  </rowItems>
  <colFields count="1">
    <field x="-2"/>
  </colFields>
  <colItems count="4">
    <i>
      <x/>
    </i>
    <i i="1">
      <x v="1"/>
    </i>
    <i i="2">
      <x v="2"/>
    </i>
    <i i="3">
      <x v="3"/>
    </i>
  </colItems>
  <dataFields count="4">
    <dataField name="Count of Product" fld="0" subtotal="count" baseField="0" baseItem="0"/>
    <dataField name="Average of Rating" fld="6" subtotal="average" baseField="0" baseItem="0"/>
    <dataField name="Average of Discount" fld="3" subtotal="average" baseField="0" baseItem="0"/>
    <dataField name="Sum of Review"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2A0519-D6CE-4FCA-B172-7EF2C5CFD832}"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C113" firstHeaderRow="0" firstDataRow="1" firstDataCol="1"/>
  <pivotFields count="9">
    <pivotField axis="axisRow" showAll="0"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h="1" x="109"/>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showAll="0"/>
    <pivotField dataField="1"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Fields count="1">
    <field x="0"/>
  </rowFields>
  <rowItems count="110">
    <i>
      <x v="52"/>
    </i>
    <i>
      <x v="68"/>
    </i>
    <i>
      <x v="65"/>
    </i>
    <i>
      <x v="40"/>
    </i>
    <i>
      <x v="87"/>
    </i>
    <i>
      <x v="44"/>
    </i>
    <i>
      <x v="57"/>
    </i>
    <i>
      <x v="22"/>
    </i>
    <i>
      <x v="90"/>
    </i>
    <i>
      <x v="70"/>
    </i>
    <i>
      <x v="4"/>
    </i>
    <i>
      <x v="1"/>
    </i>
    <i>
      <x v="28"/>
    </i>
    <i>
      <x v="107"/>
    </i>
    <i>
      <x v="8"/>
    </i>
    <i>
      <x v="75"/>
    </i>
    <i>
      <x v="18"/>
    </i>
    <i>
      <x v="91"/>
    </i>
    <i>
      <x v="59"/>
    </i>
    <i>
      <x v="27"/>
    </i>
    <i>
      <x v="69"/>
    </i>
    <i>
      <x/>
    </i>
    <i>
      <x v="2"/>
    </i>
    <i>
      <x v="61"/>
    </i>
    <i>
      <x v="72"/>
    </i>
    <i>
      <x v="95"/>
    </i>
    <i>
      <x v="67"/>
    </i>
    <i>
      <x v="60"/>
    </i>
    <i>
      <x v="80"/>
    </i>
    <i>
      <x v="77"/>
    </i>
    <i>
      <x v="26"/>
    </i>
    <i>
      <x v="62"/>
    </i>
    <i>
      <x v="56"/>
    </i>
    <i>
      <x v="63"/>
    </i>
    <i>
      <x v="11"/>
    </i>
    <i>
      <x v="73"/>
    </i>
    <i>
      <x v="7"/>
    </i>
    <i>
      <x v="93"/>
    </i>
    <i>
      <x v="3"/>
    </i>
    <i>
      <x v="20"/>
    </i>
    <i>
      <x v="84"/>
    </i>
    <i>
      <x v="66"/>
    </i>
    <i>
      <x v="16"/>
    </i>
    <i>
      <x v="76"/>
    </i>
    <i>
      <x v="108"/>
    </i>
    <i>
      <x v="101"/>
    </i>
    <i>
      <x v="5"/>
    </i>
    <i>
      <x v="64"/>
    </i>
    <i>
      <x v="38"/>
    </i>
    <i>
      <x v="25"/>
    </i>
    <i>
      <x v="106"/>
    </i>
    <i>
      <x v="17"/>
    </i>
    <i>
      <x v="41"/>
    </i>
    <i>
      <x v="35"/>
    </i>
    <i>
      <x v="58"/>
    </i>
    <i>
      <x v="30"/>
    </i>
    <i>
      <x v="104"/>
    </i>
    <i>
      <x v="88"/>
    </i>
    <i>
      <x v="19"/>
    </i>
    <i>
      <x v="96"/>
    </i>
    <i>
      <x v="55"/>
    </i>
    <i>
      <x v="39"/>
    </i>
    <i>
      <x v="47"/>
    </i>
    <i>
      <x v="92"/>
    </i>
    <i>
      <x v="23"/>
    </i>
    <i>
      <x v="100"/>
    </i>
    <i>
      <x v="24"/>
    </i>
    <i>
      <x v="82"/>
    </i>
    <i>
      <x v="48"/>
    </i>
    <i>
      <x v="86"/>
    </i>
    <i>
      <x v="12"/>
    </i>
    <i>
      <x v="51"/>
    </i>
    <i>
      <x v="49"/>
    </i>
    <i>
      <x v="94"/>
    </i>
    <i>
      <x v="13"/>
    </i>
    <i>
      <x v="98"/>
    </i>
    <i>
      <x v="14"/>
    </i>
    <i>
      <x v="102"/>
    </i>
    <i>
      <x v="29"/>
    </i>
    <i>
      <x v="81"/>
    </i>
    <i>
      <x v="10"/>
    </i>
    <i>
      <x v="83"/>
    </i>
    <i>
      <x v="31"/>
    </i>
    <i>
      <x v="85"/>
    </i>
    <i>
      <x v="32"/>
    </i>
    <i>
      <x v="15"/>
    </i>
    <i>
      <x v="71"/>
    </i>
    <i>
      <x v="89"/>
    </i>
    <i>
      <x v="33"/>
    </i>
    <i>
      <x v="42"/>
    </i>
    <i>
      <x v="34"/>
    </i>
    <i>
      <x v="43"/>
    </i>
    <i>
      <x v="74"/>
    </i>
    <i>
      <x v="6"/>
    </i>
    <i>
      <x v="45"/>
    </i>
    <i>
      <x v="97"/>
    </i>
    <i>
      <x v="36"/>
    </i>
    <i>
      <x v="99"/>
    </i>
    <i>
      <x v="37"/>
    </i>
    <i>
      <x v="46"/>
    </i>
    <i>
      <x v="103"/>
    </i>
    <i>
      <x v="21"/>
    </i>
    <i>
      <x v="105"/>
    </i>
    <i>
      <x v="78"/>
    </i>
    <i>
      <x v="9"/>
    </i>
    <i>
      <x v="79"/>
    </i>
    <i>
      <x v="50"/>
    </i>
    <i>
      <x v="53"/>
    </i>
    <i>
      <x v="54"/>
    </i>
    <i t="grand">
      <x/>
    </i>
  </rowItems>
  <colFields count="1">
    <field x="-2"/>
  </colFields>
  <colItems count="2">
    <i>
      <x/>
    </i>
    <i i="1">
      <x v="1"/>
    </i>
  </colItems>
  <dataFields count="2">
    <dataField name="Sum of Rating" fld="6" baseField="0" baseItem="0"/>
    <dataField name="Sum of Current price" fld="1"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B0C829F-7136-40FE-AF5B-772AF30C6F7D}" sourceName="Product">
  <pivotTables>
    <pivotTable tabId="28" name="PivotTable1"/>
    <pivotTable tabId="28" name="PivotTable2"/>
    <pivotTable tabId="28" name="PivotTable3"/>
    <pivotTable tabId="28" name="PivotTable4"/>
    <pivotTable tabId="28" name="PivotTable5"/>
    <pivotTable tabId="28" name="PivotTable8"/>
    <pivotTable tabId="28" name="PivotTable9"/>
    <pivotTable tabId="29" name="PivotTable10"/>
  </pivotTables>
  <data>
    <tabular pivotCacheId="1105916006">
      <items count="110">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 x="10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925BA917-F524-4F1D-BD47-F3D4E22116C6}" sourceName="Discount">
  <pivotTables>
    <pivotTable tabId="28" name="PivotTable1"/>
    <pivotTable tabId="28" name="PivotTable2"/>
    <pivotTable tabId="28" name="PivotTable3"/>
    <pivotTable tabId="28" name="PivotTable4"/>
    <pivotTable tabId="28" name="PivotTable5"/>
    <pivotTable tabId="28" name="PivotTable8"/>
    <pivotTable tabId="28" name="PivotTable9"/>
    <pivotTable tabId="29" name="PivotTable10"/>
  </pivotTables>
  <data>
    <tabular pivotCacheId="1105916006">
      <items count="47">
        <i x="44" s="1"/>
        <i x="30" s="1"/>
        <i x="33" s="1"/>
        <i x="38" s="1"/>
        <i x="42" s="1"/>
        <i x="5" s="1"/>
        <i x="41" s="1"/>
        <i x="34" s="1"/>
        <i x="40" s="1"/>
        <i x="21" s="1"/>
        <i x="16" s="1"/>
        <i x="9" s="1"/>
        <i x="43" s="1"/>
        <i x="32" s="1"/>
        <i x="19" s="1"/>
        <i x="6" s="1"/>
        <i x="2" s="1"/>
        <i x="4" s="1"/>
        <i x="26" s="1"/>
        <i x="36" s="1"/>
        <i x="23" s="1"/>
        <i x="22" s="1"/>
        <i x="12" s="1"/>
        <i x="10" s="1"/>
        <i x="18" s="1"/>
        <i x="39" s="1"/>
        <i x="3" s="1"/>
        <i x="0" s="1"/>
        <i x="35" s="1"/>
        <i x="27" s="1"/>
        <i x="28" s="1"/>
        <i x="11" s="1"/>
        <i x="37" s="1"/>
        <i x="8" s="1"/>
        <i x="14" s="1"/>
        <i x="1" s="1"/>
        <i x="25" s="1"/>
        <i x="15" s="1"/>
        <i x="29" s="1"/>
        <i x="13" s="1"/>
        <i x="24" s="1"/>
        <i x="17" s="1"/>
        <i x="20" s="1"/>
        <i x="7" s="1"/>
        <i x="31" s="1"/>
        <i x="45" s="1"/>
        <i x="4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814689B3-A2F8-4805-9847-801E301682C9}" sourceName="Rating">
  <pivotTables>
    <pivotTable tabId="28" name="PivotTable1"/>
    <pivotTable tabId="28" name="PivotTable2"/>
    <pivotTable tabId="28" name="PivotTable3"/>
    <pivotTable tabId="28" name="PivotTable4"/>
    <pivotTable tabId="28" name="PivotTable5"/>
    <pivotTable tabId="28" name="PivotTable8"/>
    <pivotTable tabId="28" name="PivotTable9"/>
    <pivotTable tabId="29" name="PivotTable10"/>
  </pivotTables>
  <data>
    <tabular pivotCacheId="1105916006">
      <items count="24">
        <i x="22" s="1"/>
        <i x="15" s="1"/>
        <i x="19" s="1"/>
        <i x="20" s="1"/>
        <i x="13" s="1"/>
        <i x="21" s="1"/>
        <i x="17" s="1"/>
        <i x="16" s="1"/>
        <i x="18" s="1"/>
        <i x="14" s="1"/>
        <i x="9" s="1"/>
        <i x="6" s="1"/>
        <i x="5" s="1"/>
        <i x="1" s="1"/>
        <i x="7" s="1"/>
        <i x="12" s="1"/>
        <i x="11" s="1"/>
        <i x="0" s="1"/>
        <i x="2" s="1"/>
        <i x="3" s="1"/>
        <i x="4" s="1"/>
        <i x="8" s="1"/>
        <i x="10" s="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2F50344-C228-4BB8-AE0C-6481481702DA}" cache="Slicer_Product" caption="Product" startItem="15" rowHeight="241300"/>
  <slicer name="Discount" xr10:uid="{E22C7DC9-B7B0-4A45-A7D0-AA92E2E5B69B}" cache="Slicer_Discount" caption="Discount" rowHeight="241300"/>
  <slicer name="Rating" xr10:uid="{1CA7BE5E-5B3C-4B43-8113-208C5892E308}" cache="Slicer_Rating" caption="Rating"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5EE01CB8-F251-4E35-8F29-E9C6581074D0}" cache="Slicer_Product" caption="Product" rowHeight="241300"/>
  <slicer name="Discount 1" xr10:uid="{B4FB97F5-D00A-4830-9408-7FC2C06265B3}" cache="Slicer_Discount" caption="Discount" startItem="9" rowHeight="241300"/>
  <slicer name="Rating 1" xr10:uid="{CCE9FACA-2013-4D96-ADE9-66838312D8E0}" cache="Slicer_Rating" caption="Rat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app.findanomaly.ai/project/21ca24ff-c43d-4fe5-bb50-3b8f6ddfe6b2/analysis/ec08226d-7332-4a74-a25d-31a3baceaca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4.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8832A-73E8-4245-AF68-2BBE7870CE27}">
  <dimension ref="A1:I114"/>
  <sheetViews>
    <sheetView zoomScaleNormal="100" workbookViewId="0">
      <selection sqref="A1:XFD1048576"/>
    </sheetView>
  </sheetViews>
  <sheetFormatPr defaultRowHeight="14.4" x14ac:dyDescent="0.3"/>
  <cols>
    <col min="1" max="1" width="87.88671875" bestFit="1" customWidth="1"/>
    <col min="2" max="2" width="11.5546875" style="1" bestFit="1" customWidth="1"/>
    <col min="3" max="3" width="11.44140625" style="1" bestFit="1" customWidth="1"/>
    <col min="4" max="4" width="8.109375" bestFit="1" customWidth="1"/>
    <col min="5" max="5" width="15.6640625" style="1" customWidth="1"/>
    <col min="6" max="6" width="6.88671875" bestFit="1" customWidth="1"/>
    <col min="7" max="7" width="6.109375" style="1" bestFit="1" customWidth="1"/>
    <col min="8" max="8" width="13.88671875" customWidth="1"/>
    <col min="9" max="9" width="11.6640625" customWidth="1"/>
  </cols>
  <sheetData>
    <row r="1" spans="1:9" x14ac:dyDescent="0.3">
      <c r="A1" t="s">
        <v>0</v>
      </c>
      <c r="B1" s="1" t="s">
        <v>1</v>
      </c>
      <c r="C1" s="1" t="s">
        <v>2</v>
      </c>
      <c r="D1" t="s">
        <v>3</v>
      </c>
      <c r="E1" s="1" t="s">
        <v>115</v>
      </c>
      <c r="F1" t="s">
        <v>4</v>
      </c>
      <c r="G1" s="1" t="s">
        <v>5</v>
      </c>
      <c r="H1" t="s">
        <v>116</v>
      </c>
      <c r="I1" s="1" t="s">
        <v>117</v>
      </c>
    </row>
    <row r="2" spans="1:9" x14ac:dyDescent="0.3">
      <c r="A2" t="s">
        <v>6</v>
      </c>
      <c r="B2" s="1">
        <v>950</v>
      </c>
      <c r="C2" s="1">
        <v>1525</v>
      </c>
      <c r="D2" s="2">
        <v>0.38</v>
      </c>
      <c r="E2" s="1">
        <f>(C2-B2)</f>
        <v>575</v>
      </c>
      <c r="F2">
        <v>-2</v>
      </c>
      <c r="G2" s="1">
        <v>4.5</v>
      </c>
      <c r="H2" t="str">
        <f>IF(G2&lt;3, "Poor", IF(G2&lt;=4, "Average", "Excellent"))</f>
        <v>Excellent</v>
      </c>
      <c r="I2" t="str">
        <f>IF(D2&lt;40%, "Low Discount", IF(D2&lt;=40%, "Medium Discount", "High Discount"))</f>
        <v>Low Discount</v>
      </c>
    </row>
    <row r="3" spans="1:9" x14ac:dyDescent="0.3">
      <c r="A3" t="s">
        <v>7</v>
      </c>
      <c r="B3" s="1">
        <v>527</v>
      </c>
      <c r="C3" s="1">
        <v>999</v>
      </c>
      <c r="D3" s="2">
        <v>0.47</v>
      </c>
      <c r="E3" s="1">
        <f>(C3-B3)</f>
        <v>472</v>
      </c>
      <c r="F3">
        <v>-14</v>
      </c>
      <c r="G3" s="1">
        <v>4.0999999999999996</v>
      </c>
      <c r="H3" t="str">
        <f t="shared" ref="H3:H66" si="0">IF(G3&lt;3, "Poor", IF(G3&lt;=4, "Average", "Excellent"))</f>
        <v>Excellent</v>
      </c>
      <c r="I3" t="str">
        <f t="shared" ref="I3:I66" si="1">IF(D3&lt;40%, "Low Discount", IF(D3&lt;=40%, "Medium Discount", "High Discount"))</f>
        <v>High Discount</v>
      </c>
    </row>
    <row r="4" spans="1:9" x14ac:dyDescent="0.3">
      <c r="A4" t="s">
        <v>8</v>
      </c>
      <c r="B4" s="1">
        <v>2199</v>
      </c>
      <c r="C4" s="1">
        <v>2923</v>
      </c>
      <c r="D4" s="2">
        <v>0.25</v>
      </c>
      <c r="E4" s="1">
        <f t="shared" ref="E4:E67" si="2">(C4-B4)</f>
        <v>724</v>
      </c>
      <c r="F4">
        <v>-24</v>
      </c>
      <c r="G4" s="1">
        <v>4.5999999999999996</v>
      </c>
      <c r="H4" t="str">
        <f t="shared" si="0"/>
        <v>Excellent</v>
      </c>
      <c r="I4" t="str">
        <f t="shared" si="1"/>
        <v>Low Discount</v>
      </c>
    </row>
    <row r="5" spans="1:9" x14ac:dyDescent="0.3">
      <c r="A5" t="s">
        <v>9</v>
      </c>
      <c r="B5" s="1">
        <v>1580</v>
      </c>
      <c r="C5" s="1">
        <v>2499</v>
      </c>
      <c r="D5" s="2">
        <v>0.37</v>
      </c>
      <c r="E5" s="1">
        <f t="shared" si="2"/>
        <v>919</v>
      </c>
      <c r="F5">
        <v>-7</v>
      </c>
      <c r="G5" s="1">
        <v>4.7</v>
      </c>
      <c r="H5" t="str">
        <f t="shared" si="0"/>
        <v>Excellent</v>
      </c>
      <c r="I5" t="str">
        <f t="shared" si="1"/>
        <v>Low Discount</v>
      </c>
    </row>
    <row r="6" spans="1:9" x14ac:dyDescent="0.3">
      <c r="A6" t="s">
        <v>10</v>
      </c>
      <c r="B6" s="1">
        <v>1740</v>
      </c>
      <c r="C6" s="1">
        <v>2356</v>
      </c>
      <c r="D6" s="2">
        <v>0.26</v>
      </c>
      <c r="E6" s="1">
        <f t="shared" si="2"/>
        <v>616</v>
      </c>
      <c r="F6">
        <v>-5</v>
      </c>
      <c r="G6" s="1">
        <v>4.8</v>
      </c>
      <c r="H6" t="str">
        <f t="shared" si="0"/>
        <v>Excellent</v>
      </c>
      <c r="I6" t="str">
        <f t="shared" si="1"/>
        <v>Low Discount</v>
      </c>
    </row>
    <row r="7" spans="1:9" x14ac:dyDescent="0.3">
      <c r="A7" t="s">
        <v>11</v>
      </c>
      <c r="B7" s="1">
        <v>2999</v>
      </c>
      <c r="C7" s="1">
        <v>3290</v>
      </c>
      <c r="D7" s="2">
        <v>0.09</v>
      </c>
      <c r="E7" s="1">
        <f t="shared" si="2"/>
        <v>291</v>
      </c>
      <c r="F7">
        <v>-15</v>
      </c>
      <c r="G7" s="1">
        <v>4</v>
      </c>
      <c r="H7" t="str">
        <f t="shared" si="0"/>
        <v>Average</v>
      </c>
      <c r="I7" t="str">
        <f t="shared" si="1"/>
        <v>Low Discount</v>
      </c>
    </row>
    <row r="8" spans="1:9" x14ac:dyDescent="0.3">
      <c r="A8" t="s">
        <v>12</v>
      </c>
      <c r="B8" s="1">
        <v>2319</v>
      </c>
      <c r="C8" s="1">
        <v>3032</v>
      </c>
      <c r="D8" s="2">
        <v>0.24</v>
      </c>
      <c r="E8" s="1">
        <f t="shared" si="2"/>
        <v>713</v>
      </c>
      <c r="F8">
        <v>-55</v>
      </c>
      <c r="G8" s="1">
        <v>4.5999999999999996</v>
      </c>
      <c r="H8" t="str">
        <f t="shared" si="0"/>
        <v>Excellent</v>
      </c>
      <c r="I8" t="str">
        <f t="shared" si="1"/>
        <v>Low Discount</v>
      </c>
    </row>
    <row r="9" spans="1:9" x14ac:dyDescent="0.3">
      <c r="A9" t="s">
        <v>13</v>
      </c>
      <c r="B9" s="1">
        <v>988</v>
      </c>
      <c r="C9" s="1">
        <v>1580</v>
      </c>
      <c r="D9" s="2">
        <v>0.37</v>
      </c>
      <c r="E9" s="1">
        <f t="shared" si="2"/>
        <v>592</v>
      </c>
      <c r="F9">
        <v>-2</v>
      </c>
      <c r="G9" s="1">
        <v>4</v>
      </c>
      <c r="H9" t="str">
        <f t="shared" si="0"/>
        <v>Average</v>
      </c>
      <c r="I9" t="str">
        <f t="shared" si="1"/>
        <v>Low Discount</v>
      </c>
    </row>
    <row r="10" spans="1:9" x14ac:dyDescent="0.3">
      <c r="A10" t="s">
        <v>14</v>
      </c>
      <c r="B10" s="1">
        <v>1274</v>
      </c>
      <c r="C10" s="1">
        <v>2800</v>
      </c>
      <c r="D10" s="2">
        <v>0.55000000000000004</v>
      </c>
      <c r="E10" s="1">
        <f t="shared" si="2"/>
        <v>1526</v>
      </c>
      <c r="F10">
        <v>-5</v>
      </c>
      <c r="G10" s="1">
        <v>4.8</v>
      </c>
      <c r="H10" t="str">
        <f t="shared" si="0"/>
        <v>Excellent</v>
      </c>
      <c r="I10" t="str">
        <f t="shared" si="1"/>
        <v>High Discount</v>
      </c>
    </row>
    <row r="11" spans="1:9" x14ac:dyDescent="0.3">
      <c r="A11" t="s">
        <v>15</v>
      </c>
      <c r="B11" s="1">
        <v>1600</v>
      </c>
      <c r="C11" s="1">
        <v>2929</v>
      </c>
      <c r="D11" s="2">
        <v>0.45</v>
      </c>
      <c r="E11" s="1">
        <f t="shared" si="2"/>
        <v>1329</v>
      </c>
      <c r="F11">
        <v>-5</v>
      </c>
      <c r="G11" s="1">
        <v>3.8</v>
      </c>
      <c r="H11" t="str">
        <f t="shared" si="0"/>
        <v>Average</v>
      </c>
      <c r="I11" t="str">
        <f t="shared" si="1"/>
        <v>High Discount</v>
      </c>
    </row>
    <row r="12" spans="1:9" x14ac:dyDescent="0.3">
      <c r="A12" t="s">
        <v>16</v>
      </c>
      <c r="B12" s="1">
        <v>799</v>
      </c>
      <c r="C12" s="1">
        <v>999</v>
      </c>
      <c r="D12" s="2">
        <v>0.2</v>
      </c>
      <c r="E12" s="1">
        <f t="shared" si="2"/>
        <v>200</v>
      </c>
      <c r="F12">
        <v>-12</v>
      </c>
      <c r="G12" s="1">
        <v>4.0999999999999996</v>
      </c>
      <c r="H12" t="str">
        <f t="shared" si="0"/>
        <v>Excellent</v>
      </c>
      <c r="I12" t="str">
        <f t="shared" si="1"/>
        <v>Low Discount</v>
      </c>
    </row>
    <row r="13" spans="1:9" x14ac:dyDescent="0.3">
      <c r="A13" t="s">
        <v>17</v>
      </c>
      <c r="B13" s="1">
        <v>990</v>
      </c>
      <c r="C13" s="1">
        <v>1500</v>
      </c>
      <c r="D13" s="2">
        <v>0.34</v>
      </c>
      <c r="E13" s="1">
        <f t="shared" si="2"/>
        <v>510</v>
      </c>
      <c r="F13">
        <v>-39</v>
      </c>
      <c r="G13" s="1">
        <v>4.7</v>
      </c>
      <c r="H13" t="str">
        <f t="shared" si="0"/>
        <v>Excellent</v>
      </c>
      <c r="I13" t="str">
        <f t="shared" si="1"/>
        <v>Low Discount</v>
      </c>
    </row>
    <row r="14" spans="1:9" x14ac:dyDescent="0.3">
      <c r="A14" t="s">
        <v>18</v>
      </c>
      <c r="B14" s="1">
        <v>552</v>
      </c>
      <c r="C14" s="1">
        <v>1035</v>
      </c>
      <c r="D14" s="2">
        <v>0.47</v>
      </c>
      <c r="E14" s="1">
        <f t="shared" si="2"/>
        <v>483</v>
      </c>
      <c r="F14">
        <v>-12</v>
      </c>
      <c r="G14" s="1">
        <v>4.8</v>
      </c>
      <c r="H14" t="str">
        <f t="shared" si="0"/>
        <v>Excellent</v>
      </c>
      <c r="I14" t="str">
        <f t="shared" si="1"/>
        <v>High Discount</v>
      </c>
    </row>
    <row r="15" spans="1:9" x14ac:dyDescent="0.3">
      <c r="A15" t="s">
        <v>19</v>
      </c>
      <c r="B15" s="1">
        <v>501</v>
      </c>
      <c r="C15" s="1">
        <v>860</v>
      </c>
      <c r="D15" s="2">
        <v>0.42</v>
      </c>
      <c r="E15" s="1">
        <f t="shared" si="2"/>
        <v>359</v>
      </c>
      <c r="F15">
        <v>-6</v>
      </c>
      <c r="G15" s="1">
        <v>4.5</v>
      </c>
      <c r="H15" t="str">
        <f t="shared" si="0"/>
        <v>Excellent</v>
      </c>
      <c r="I15" t="str">
        <f t="shared" si="1"/>
        <v>High Discount</v>
      </c>
    </row>
    <row r="16" spans="1:9" x14ac:dyDescent="0.3">
      <c r="A16" t="s">
        <v>20</v>
      </c>
      <c r="B16" s="1">
        <v>1680</v>
      </c>
      <c r="C16" s="1">
        <v>2499</v>
      </c>
      <c r="D16" s="2">
        <v>0.33</v>
      </c>
      <c r="E16" s="1">
        <f t="shared" si="2"/>
        <v>819</v>
      </c>
      <c r="F16">
        <v>-9</v>
      </c>
      <c r="G16" s="1">
        <v>4.2</v>
      </c>
      <c r="H16" t="str">
        <f t="shared" si="0"/>
        <v>Excellent</v>
      </c>
      <c r="I16" t="str">
        <f t="shared" si="1"/>
        <v>Low Discount</v>
      </c>
    </row>
    <row r="17" spans="1:9" x14ac:dyDescent="0.3">
      <c r="A17" t="s">
        <v>21</v>
      </c>
      <c r="B17" s="1">
        <v>332</v>
      </c>
      <c r="C17" s="1">
        <v>684</v>
      </c>
      <c r="D17" s="2">
        <v>0.51</v>
      </c>
      <c r="E17" s="1">
        <f t="shared" si="2"/>
        <v>352</v>
      </c>
      <c r="F17">
        <v>-2</v>
      </c>
      <c r="G17" s="1">
        <v>5</v>
      </c>
      <c r="H17" t="str">
        <f t="shared" si="0"/>
        <v>Excellent</v>
      </c>
      <c r="I17" t="str">
        <f t="shared" si="1"/>
        <v>High Discount</v>
      </c>
    </row>
    <row r="18" spans="1:9" x14ac:dyDescent="0.3">
      <c r="A18" t="s">
        <v>22</v>
      </c>
      <c r="B18" s="1">
        <v>195</v>
      </c>
      <c r="C18" s="1">
        <v>360</v>
      </c>
      <c r="D18" s="2">
        <v>0.46</v>
      </c>
      <c r="E18" s="1">
        <f t="shared" si="2"/>
        <v>165</v>
      </c>
      <c r="F18">
        <v>-2</v>
      </c>
      <c r="G18" s="1">
        <v>5</v>
      </c>
      <c r="H18" t="str">
        <f t="shared" si="0"/>
        <v>Excellent</v>
      </c>
      <c r="I18" t="str">
        <f t="shared" si="1"/>
        <v>High Discount</v>
      </c>
    </row>
    <row r="19" spans="1:9" x14ac:dyDescent="0.3">
      <c r="A19" t="s">
        <v>23</v>
      </c>
      <c r="B19" s="1">
        <v>2025</v>
      </c>
      <c r="C19" s="1">
        <v>3971</v>
      </c>
      <c r="D19" s="2">
        <v>0.49</v>
      </c>
      <c r="E19" s="1">
        <f t="shared" si="2"/>
        <v>1946</v>
      </c>
      <c r="F19">
        <v>-3</v>
      </c>
      <c r="G19" s="1">
        <v>5</v>
      </c>
      <c r="H19" t="str">
        <f t="shared" si="0"/>
        <v>Excellent</v>
      </c>
      <c r="I19" t="str">
        <f t="shared" si="1"/>
        <v>High Discount</v>
      </c>
    </row>
    <row r="20" spans="1:9" x14ac:dyDescent="0.3">
      <c r="A20" t="s">
        <v>24</v>
      </c>
      <c r="B20" s="1">
        <v>2999</v>
      </c>
      <c r="C20" s="1">
        <v>3699</v>
      </c>
      <c r="D20" s="2">
        <v>0.19</v>
      </c>
      <c r="E20" s="1">
        <f t="shared" si="2"/>
        <v>700</v>
      </c>
      <c r="F20">
        <v>-5</v>
      </c>
      <c r="G20" s="1">
        <v>4.5999999999999996</v>
      </c>
      <c r="H20" t="str">
        <f t="shared" si="0"/>
        <v>Excellent</v>
      </c>
      <c r="I20" t="str">
        <f t="shared" si="1"/>
        <v>Low Discount</v>
      </c>
    </row>
    <row r="21" spans="1:9" x14ac:dyDescent="0.3">
      <c r="A21" t="s">
        <v>25</v>
      </c>
      <c r="B21" s="1">
        <v>998</v>
      </c>
      <c r="C21" s="1">
        <v>1966</v>
      </c>
      <c r="D21" s="2">
        <v>0.49</v>
      </c>
      <c r="E21" s="1">
        <f t="shared" si="2"/>
        <v>968</v>
      </c>
      <c r="F21">
        <v>-44</v>
      </c>
      <c r="G21" s="1">
        <v>4.5999999999999996</v>
      </c>
      <c r="H21" t="str">
        <f t="shared" si="0"/>
        <v>Excellent</v>
      </c>
      <c r="I21" t="str">
        <f t="shared" si="1"/>
        <v>High Discount</v>
      </c>
    </row>
    <row r="22" spans="1:9" x14ac:dyDescent="0.3">
      <c r="A22" t="s">
        <v>26</v>
      </c>
      <c r="B22" s="3">
        <v>38</v>
      </c>
      <c r="C22" s="1">
        <v>80</v>
      </c>
      <c r="D22" s="2">
        <v>0.53</v>
      </c>
      <c r="E22" s="1">
        <f t="shared" si="2"/>
        <v>42</v>
      </c>
      <c r="F22">
        <v>-13</v>
      </c>
      <c r="G22" s="1">
        <v>3.3</v>
      </c>
      <c r="H22" t="str">
        <f t="shared" si="0"/>
        <v>Average</v>
      </c>
      <c r="I22" t="str">
        <f t="shared" si="1"/>
        <v>High Discount</v>
      </c>
    </row>
    <row r="23" spans="1:9" x14ac:dyDescent="0.3">
      <c r="A23" t="s">
        <v>27</v>
      </c>
      <c r="B23" s="1">
        <v>1860</v>
      </c>
      <c r="C23" s="1">
        <v>3220</v>
      </c>
      <c r="D23" s="2">
        <v>0.42</v>
      </c>
      <c r="E23" s="1">
        <f t="shared" si="2"/>
        <v>1360</v>
      </c>
      <c r="H23" t="str">
        <f t="shared" si="0"/>
        <v>Poor</v>
      </c>
      <c r="I23" t="str">
        <f t="shared" si="1"/>
        <v>High Discount</v>
      </c>
    </row>
    <row r="24" spans="1:9" x14ac:dyDescent="0.3">
      <c r="A24" t="s">
        <v>28</v>
      </c>
      <c r="B24" s="1">
        <v>880</v>
      </c>
      <c r="C24" s="1">
        <v>1350</v>
      </c>
      <c r="D24" s="2">
        <v>0.35</v>
      </c>
      <c r="E24" s="1">
        <f t="shared" si="2"/>
        <v>470</v>
      </c>
      <c r="F24">
        <v>-6</v>
      </c>
      <c r="G24" s="1">
        <v>4</v>
      </c>
      <c r="H24" t="str">
        <f t="shared" si="0"/>
        <v>Average</v>
      </c>
      <c r="I24" t="str">
        <f t="shared" si="1"/>
        <v>Low Discount</v>
      </c>
    </row>
    <row r="25" spans="1:9" x14ac:dyDescent="0.3">
      <c r="A25" t="s">
        <v>29</v>
      </c>
      <c r="B25" s="1">
        <v>1650</v>
      </c>
      <c r="C25" s="1">
        <v>2150</v>
      </c>
      <c r="D25" s="2">
        <v>0.23</v>
      </c>
      <c r="E25" s="1">
        <f t="shared" si="2"/>
        <v>500</v>
      </c>
      <c r="F25">
        <v>-14</v>
      </c>
      <c r="G25" s="1">
        <v>4.4000000000000004</v>
      </c>
      <c r="H25" t="str">
        <f t="shared" si="0"/>
        <v>Excellent</v>
      </c>
      <c r="I25" t="str">
        <f t="shared" si="1"/>
        <v>Low Discount</v>
      </c>
    </row>
    <row r="26" spans="1:9" x14ac:dyDescent="0.3">
      <c r="A26" t="s">
        <v>30</v>
      </c>
      <c r="B26" s="1">
        <v>2048</v>
      </c>
      <c r="C26" s="1">
        <v>4500</v>
      </c>
      <c r="D26" s="2">
        <v>0.54</v>
      </c>
      <c r="E26" s="1">
        <f t="shared" si="2"/>
        <v>2452</v>
      </c>
      <c r="F26">
        <v>-7</v>
      </c>
      <c r="G26" s="1">
        <v>4.3</v>
      </c>
      <c r="H26" t="str">
        <f t="shared" si="0"/>
        <v>Excellent</v>
      </c>
      <c r="I26" t="str">
        <f t="shared" si="1"/>
        <v>High Discount</v>
      </c>
    </row>
    <row r="27" spans="1:9" x14ac:dyDescent="0.3">
      <c r="A27" t="s">
        <v>31</v>
      </c>
      <c r="B27" s="1">
        <v>420</v>
      </c>
      <c r="C27" s="1">
        <v>647</v>
      </c>
      <c r="D27" s="2">
        <v>0.35</v>
      </c>
      <c r="E27" s="1">
        <f t="shared" si="2"/>
        <v>227</v>
      </c>
      <c r="F27">
        <v>-49</v>
      </c>
      <c r="G27" s="1">
        <v>4.5999999999999996</v>
      </c>
      <c r="H27" t="str">
        <f t="shared" si="0"/>
        <v>Excellent</v>
      </c>
      <c r="I27" t="str">
        <f t="shared" si="1"/>
        <v>Low Discount</v>
      </c>
    </row>
    <row r="28" spans="1:9" x14ac:dyDescent="0.3">
      <c r="A28" t="s">
        <v>32</v>
      </c>
      <c r="B28" s="1">
        <v>2880</v>
      </c>
      <c r="C28" s="1">
        <v>3520</v>
      </c>
      <c r="D28" s="2">
        <v>0.18</v>
      </c>
      <c r="E28" s="1">
        <f t="shared" si="2"/>
        <v>640</v>
      </c>
      <c r="F28">
        <v>-12</v>
      </c>
      <c r="G28" s="1">
        <v>3.8</v>
      </c>
      <c r="H28" t="str">
        <f t="shared" si="0"/>
        <v>Average</v>
      </c>
      <c r="I28" t="str">
        <f t="shared" si="1"/>
        <v>Low Discount</v>
      </c>
    </row>
    <row r="29" spans="1:9" x14ac:dyDescent="0.3">
      <c r="A29" t="s">
        <v>33</v>
      </c>
      <c r="B29" s="1">
        <v>1350</v>
      </c>
      <c r="C29" s="1">
        <v>1990</v>
      </c>
      <c r="D29" s="2">
        <v>0.32</v>
      </c>
      <c r="E29" s="1">
        <f t="shared" si="2"/>
        <v>640</v>
      </c>
      <c r="F29">
        <v>-13</v>
      </c>
      <c r="G29" s="1">
        <v>3.8</v>
      </c>
      <c r="H29" t="str">
        <f t="shared" si="0"/>
        <v>Average</v>
      </c>
      <c r="I29" t="str">
        <f t="shared" si="1"/>
        <v>Low Discount</v>
      </c>
    </row>
    <row r="30" spans="1:9" x14ac:dyDescent="0.3">
      <c r="A30" t="s">
        <v>34</v>
      </c>
      <c r="B30" s="1">
        <v>1758</v>
      </c>
      <c r="C30" s="1">
        <v>2499</v>
      </c>
      <c r="D30" s="2">
        <v>0.3</v>
      </c>
      <c r="E30" s="1">
        <f t="shared" si="2"/>
        <v>741</v>
      </c>
      <c r="F30">
        <v>-20</v>
      </c>
      <c r="G30" s="1">
        <v>4.0999999999999996</v>
      </c>
      <c r="H30" t="str">
        <f t="shared" si="0"/>
        <v>Excellent</v>
      </c>
      <c r="I30" t="str">
        <f t="shared" si="1"/>
        <v>Low Discount</v>
      </c>
    </row>
    <row r="31" spans="1:9" x14ac:dyDescent="0.3">
      <c r="A31" t="s">
        <v>35</v>
      </c>
      <c r="B31" s="1">
        <v>2200</v>
      </c>
      <c r="C31" s="1">
        <v>4080</v>
      </c>
      <c r="D31" s="2">
        <v>0.46</v>
      </c>
      <c r="E31" s="1">
        <f t="shared" si="2"/>
        <v>1880</v>
      </c>
      <c r="H31" t="str">
        <f t="shared" si="0"/>
        <v>Poor</v>
      </c>
      <c r="I31" t="str">
        <f t="shared" si="1"/>
        <v>High Discount</v>
      </c>
    </row>
    <row r="32" spans="1:9" x14ac:dyDescent="0.3">
      <c r="A32" t="s">
        <v>36</v>
      </c>
      <c r="B32" s="1">
        <v>185</v>
      </c>
      <c r="C32" s="1">
        <v>382</v>
      </c>
      <c r="D32" s="2">
        <v>0.52</v>
      </c>
      <c r="E32" s="1">
        <f t="shared" si="2"/>
        <v>197</v>
      </c>
      <c r="F32">
        <v>-9</v>
      </c>
      <c r="G32" s="1">
        <v>4.3</v>
      </c>
      <c r="H32" t="str">
        <f t="shared" si="0"/>
        <v>Excellent</v>
      </c>
      <c r="I32" t="str">
        <f t="shared" si="1"/>
        <v>High Discount</v>
      </c>
    </row>
    <row r="33" spans="1:9" x14ac:dyDescent="0.3">
      <c r="A33" t="s">
        <v>37</v>
      </c>
      <c r="B33" s="1">
        <v>980</v>
      </c>
      <c r="C33" s="1">
        <v>1490</v>
      </c>
      <c r="D33" s="2">
        <v>0.34</v>
      </c>
      <c r="E33" s="1">
        <f t="shared" si="2"/>
        <v>510</v>
      </c>
      <c r="F33">
        <v>-12</v>
      </c>
      <c r="G33" s="1">
        <v>4.7</v>
      </c>
      <c r="H33" t="str">
        <f t="shared" si="0"/>
        <v>Excellent</v>
      </c>
      <c r="I33" t="str">
        <f t="shared" si="1"/>
        <v>Low Discount</v>
      </c>
    </row>
    <row r="34" spans="1:9" x14ac:dyDescent="0.3">
      <c r="A34" t="s">
        <v>38</v>
      </c>
      <c r="B34" s="1">
        <v>1820</v>
      </c>
      <c r="C34" s="1">
        <v>3490</v>
      </c>
      <c r="D34" s="2">
        <v>0.48</v>
      </c>
      <c r="E34" s="1">
        <f t="shared" si="2"/>
        <v>1670</v>
      </c>
      <c r="F34">
        <v>-9</v>
      </c>
      <c r="G34" s="1">
        <v>4.3</v>
      </c>
      <c r="H34" t="str">
        <f t="shared" si="0"/>
        <v>Excellent</v>
      </c>
      <c r="I34" t="str">
        <f t="shared" si="1"/>
        <v>High Discount</v>
      </c>
    </row>
    <row r="35" spans="1:9" x14ac:dyDescent="0.3">
      <c r="A35" t="s">
        <v>39</v>
      </c>
      <c r="B35" s="1">
        <v>1940</v>
      </c>
      <c r="C35" s="1">
        <v>2650</v>
      </c>
      <c r="D35" s="2">
        <v>0.27</v>
      </c>
      <c r="E35" s="1">
        <f t="shared" si="2"/>
        <v>710</v>
      </c>
      <c r="F35">
        <v>-20</v>
      </c>
      <c r="G35" s="1">
        <v>4.7</v>
      </c>
      <c r="H35" t="str">
        <f t="shared" si="0"/>
        <v>Excellent</v>
      </c>
      <c r="I35" t="str">
        <f t="shared" si="1"/>
        <v>Low Discount</v>
      </c>
    </row>
    <row r="36" spans="1:9" x14ac:dyDescent="0.3">
      <c r="A36" t="s">
        <v>40</v>
      </c>
      <c r="B36" s="1">
        <v>1980</v>
      </c>
      <c r="C36" s="1">
        <v>2699</v>
      </c>
      <c r="D36" s="2">
        <v>0.27</v>
      </c>
      <c r="E36" s="1">
        <f t="shared" si="2"/>
        <v>719</v>
      </c>
      <c r="F36">
        <v>-32</v>
      </c>
      <c r="G36" s="1">
        <v>4.5</v>
      </c>
      <c r="H36" t="str">
        <f t="shared" si="0"/>
        <v>Excellent</v>
      </c>
      <c r="I36" t="str">
        <f t="shared" si="1"/>
        <v>Low Discount</v>
      </c>
    </row>
    <row r="37" spans="1:9" x14ac:dyDescent="0.3">
      <c r="A37" t="s">
        <v>41</v>
      </c>
      <c r="B37" s="1">
        <v>1620</v>
      </c>
      <c r="C37" s="1">
        <v>2690</v>
      </c>
      <c r="D37" s="2">
        <v>0.4</v>
      </c>
      <c r="E37" s="1">
        <f t="shared" si="2"/>
        <v>1070</v>
      </c>
      <c r="F37">
        <v>-1</v>
      </c>
      <c r="G37" s="1">
        <v>5</v>
      </c>
      <c r="H37" t="str">
        <f t="shared" si="0"/>
        <v>Excellent</v>
      </c>
      <c r="I37" t="str">
        <f t="shared" si="1"/>
        <v>Medium Discount</v>
      </c>
    </row>
    <row r="38" spans="1:9" x14ac:dyDescent="0.3">
      <c r="A38" t="s">
        <v>42</v>
      </c>
      <c r="B38" s="1">
        <v>171</v>
      </c>
      <c r="C38" s="1">
        <v>360</v>
      </c>
      <c r="D38" s="2">
        <v>0.53</v>
      </c>
      <c r="E38" s="1">
        <f t="shared" si="2"/>
        <v>189</v>
      </c>
      <c r="F38">
        <v>-2</v>
      </c>
      <c r="G38" s="1">
        <v>5</v>
      </c>
      <c r="H38" t="str">
        <f t="shared" si="0"/>
        <v>Excellent</v>
      </c>
      <c r="I38" t="str">
        <f t="shared" si="1"/>
        <v>High Discount</v>
      </c>
    </row>
    <row r="39" spans="1:9" x14ac:dyDescent="0.3">
      <c r="A39" t="s">
        <v>43</v>
      </c>
      <c r="B39" s="1">
        <v>389</v>
      </c>
      <c r="C39" s="1">
        <v>656</v>
      </c>
      <c r="D39" s="2">
        <v>0.41</v>
      </c>
      <c r="E39" s="1">
        <f t="shared" si="2"/>
        <v>267</v>
      </c>
      <c r="F39">
        <v>-36</v>
      </c>
      <c r="G39" s="1">
        <v>4.3</v>
      </c>
      <c r="H39" t="str">
        <f t="shared" si="0"/>
        <v>Excellent</v>
      </c>
      <c r="I39" t="str">
        <f t="shared" si="1"/>
        <v>High Discount</v>
      </c>
    </row>
    <row r="40" spans="1:9" x14ac:dyDescent="0.3">
      <c r="A40" t="s">
        <v>44</v>
      </c>
      <c r="B40" s="1">
        <f>(1980-1620)/2</f>
        <v>180</v>
      </c>
      <c r="C40" s="1">
        <f>(3200-2200)/2</f>
        <v>500</v>
      </c>
      <c r="D40" s="2">
        <v>0.38</v>
      </c>
      <c r="F40">
        <v>-2</v>
      </c>
      <c r="G40" s="1">
        <v>4.5</v>
      </c>
      <c r="H40" t="str">
        <f t="shared" si="0"/>
        <v>Excellent</v>
      </c>
      <c r="I40" t="str">
        <f t="shared" si="1"/>
        <v>Low Discount</v>
      </c>
    </row>
    <row r="41" spans="1:9" x14ac:dyDescent="0.3">
      <c r="A41" t="s">
        <v>45</v>
      </c>
      <c r="B41" s="1">
        <v>2750</v>
      </c>
      <c r="C41" s="1">
        <v>4471</v>
      </c>
      <c r="D41" s="2">
        <v>0.38</v>
      </c>
      <c r="E41" s="1">
        <f t="shared" si="2"/>
        <v>1721</v>
      </c>
      <c r="H41" t="str">
        <f t="shared" si="0"/>
        <v>Poor</v>
      </c>
      <c r="I41" t="str">
        <f t="shared" si="1"/>
        <v>Low Discount</v>
      </c>
    </row>
    <row r="42" spans="1:9" x14ac:dyDescent="0.3">
      <c r="A42" t="s">
        <v>46</v>
      </c>
      <c r="B42" s="1">
        <v>475</v>
      </c>
      <c r="C42" s="1">
        <v>931</v>
      </c>
      <c r="D42" s="2">
        <v>0.49</v>
      </c>
      <c r="E42" s="1">
        <f t="shared" si="2"/>
        <v>456</v>
      </c>
      <c r="H42" t="str">
        <f t="shared" si="0"/>
        <v>Poor</v>
      </c>
      <c r="I42" t="str">
        <f t="shared" si="1"/>
        <v>High Discount</v>
      </c>
    </row>
    <row r="43" spans="1:9" x14ac:dyDescent="0.3">
      <c r="A43" t="s">
        <v>47</v>
      </c>
      <c r="B43" s="1">
        <v>238</v>
      </c>
      <c r="C43" s="1">
        <v>476</v>
      </c>
      <c r="D43" s="2">
        <v>0.5</v>
      </c>
      <c r="E43" s="1">
        <f t="shared" si="2"/>
        <v>238</v>
      </c>
      <c r="H43" t="str">
        <f t="shared" si="0"/>
        <v>Poor</v>
      </c>
      <c r="I43" t="str">
        <f t="shared" si="1"/>
        <v>High Discount</v>
      </c>
    </row>
    <row r="44" spans="1:9" x14ac:dyDescent="0.3">
      <c r="A44" t="s">
        <v>48</v>
      </c>
      <c r="B44" s="1">
        <v>610</v>
      </c>
      <c r="C44" s="1">
        <v>1060</v>
      </c>
      <c r="D44" s="2">
        <v>0.42</v>
      </c>
      <c r="E44" s="1">
        <f t="shared" si="2"/>
        <v>450</v>
      </c>
      <c r="H44" t="str">
        <f t="shared" si="0"/>
        <v>Poor</v>
      </c>
      <c r="I44" t="str">
        <f t="shared" si="1"/>
        <v>High Discount</v>
      </c>
    </row>
    <row r="45" spans="1:9" x14ac:dyDescent="0.3">
      <c r="A45" t="s">
        <v>49</v>
      </c>
      <c r="B45" s="1">
        <v>2132</v>
      </c>
      <c r="C45" s="1">
        <v>2169</v>
      </c>
      <c r="D45" s="2">
        <v>0.02</v>
      </c>
      <c r="E45" s="1">
        <f t="shared" si="2"/>
        <v>37</v>
      </c>
      <c r="H45" t="str">
        <f t="shared" si="0"/>
        <v>Poor</v>
      </c>
      <c r="I45" t="str">
        <f t="shared" si="1"/>
        <v>Low Discount</v>
      </c>
    </row>
    <row r="46" spans="1:9" x14ac:dyDescent="0.3">
      <c r="A46" t="s">
        <v>50</v>
      </c>
      <c r="B46" s="1">
        <v>999</v>
      </c>
      <c r="C46" s="1">
        <v>2000</v>
      </c>
      <c r="D46" s="2">
        <v>0.5</v>
      </c>
      <c r="E46" s="1">
        <f t="shared" si="2"/>
        <v>1001</v>
      </c>
      <c r="H46" t="str">
        <f t="shared" si="0"/>
        <v>Poor</v>
      </c>
      <c r="I46" t="str">
        <f t="shared" si="1"/>
        <v>High Discount</v>
      </c>
    </row>
    <row r="47" spans="1:9" x14ac:dyDescent="0.3">
      <c r="A47" t="s">
        <v>51</v>
      </c>
      <c r="B47" s="1">
        <v>1190</v>
      </c>
      <c r="C47" s="1">
        <v>1785</v>
      </c>
      <c r="D47" s="2">
        <v>0.33</v>
      </c>
      <c r="E47" s="1">
        <f t="shared" si="2"/>
        <v>595</v>
      </c>
      <c r="H47" t="str">
        <f t="shared" si="0"/>
        <v>Poor</v>
      </c>
      <c r="I47" t="str">
        <f t="shared" si="1"/>
        <v>Low Discount</v>
      </c>
    </row>
    <row r="48" spans="1:9" x14ac:dyDescent="0.3">
      <c r="A48" t="s">
        <v>52</v>
      </c>
      <c r="B48" s="1">
        <v>671</v>
      </c>
      <c r="C48" s="1">
        <v>1316</v>
      </c>
      <c r="D48" s="2">
        <v>0.49</v>
      </c>
      <c r="E48" s="1">
        <f t="shared" si="2"/>
        <v>645</v>
      </c>
      <c r="H48" t="str">
        <f t="shared" si="0"/>
        <v>Poor</v>
      </c>
      <c r="I48" t="str">
        <f t="shared" si="1"/>
        <v>High Discount</v>
      </c>
    </row>
    <row r="49" spans="1:9" x14ac:dyDescent="0.3">
      <c r="A49" t="s">
        <v>53</v>
      </c>
      <c r="B49" s="1">
        <v>1200</v>
      </c>
      <c r="C49" s="1">
        <v>1950</v>
      </c>
      <c r="D49" s="2">
        <v>0.38</v>
      </c>
      <c r="E49" s="1">
        <f t="shared" si="2"/>
        <v>750</v>
      </c>
      <c r="H49" t="str">
        <f t="shared" si="0"/>
        <v>Poor</v>
      </c>
      <c r="I49" t="str">
        <f t="shared" si="1"/>
        <v>Low Discount</v>
      </c>
    </row>
    <row r="50" spans="1:9" x14ac:dyDescent="0.3">
      <c r="A50" t="s">
        <v>54</v>
      </c>
      <c r="B50" s="1">
        <v>199</v>
      </c>
      <c r="C50" s="1">
        <v>504</v>
      </c>
      <c r="D50" s="2">
        <v>0.61</v>
      </c>
      <c r="E50" s="1">
        <f t="shared" si="2"/>
        <v>305</v>
      </c>
      <c r="H50" t="str">
        <f t="shared" si="0"/>
        <v>Poor</v>
      </c>
      <c r="I50" t="str">
        <f t="shared" si="1"/>
        <v>High Discount</v>
      </c>
    </row>
    <row r="51" spans="1:9" x14ac:dyDescent="0.3">
      <c r="A51" t="s">
        <v>55</v>
      </c>
      <c r="B51" s="1">
        <v>299</v>
      </c>
      <c r="C51" s="1">
        <v>600</v>
      </c>
      <c r="D51" s="2">
        <v>0.5</v>
      </c>
      <c r="E51" s="1">
        <f t="shared" si="2"/>
        <v>301</v>
      </c>
      <c r="H51" t="str">
        <f t="shared" si="0"/>
        <v>Poor</v>
      </c>
      <c r="I51" t="str">
        <f t="shared" si="1"/>
        <v>High Discount</v>
      </c>
    </row>
    <row r="52" spans="1:9" x14ac:dyDescent="0.3">
      <c r="A52" t="s">
        <v>56</v>
      </c>
      <c r="B52" s="1">
        <v>1660</v>
      </c>
      <c r="C52" s="1">
        <v>1699</v>
      </c>
      <c r="D52" s="2">
        <v>0.02</v>
      </c>
      <c r="E52" s="1">
        <f t="shared" si="2"/>
        <v>39</v>
      </c>
      <c r="H52" t="str">
        <f t="shared" si="0"/>
        <v>Poor</v>
      </c>
      <c r="I52" t="str">
        <f t="shared" si="1"/>
        <v>Low Discount</v>
      </c>
    </row>
    <row r="53" spans="1:9" x14ac:dyDescent="0.3">
      <c r="A53" t="s">
        <v>57</v>
      </c>
      <c r="B53" s="1">
        <v>299</v>
      </c>
      <c r="C53" s="1">
        <v>384</v>
      </c>
      <c r="D53" s="2">
        <v>0.22</v>
      </c>
      <c r="E53" s="1">
        <f t="shared" si="2"/>
        <v>85</v>
      </c>
      <c r="H53" t="str">
        <f t="shared" si="0"/>
        <v>Poor</v>
      </c>
      <c r="I53" t="str">
        <f t="shared" si="1"/>
        <v>Low Discount</v>
      </c>
    </row>
    <row r="54" spans="1:9" x14ac:dyDescent="0.3">
      <c r="A54" t="s">
        <v>58</v>
      </c>
      <c r="B54" s="1">
        <v>1459</v>
      </c>
      <c r="C54" s="1">
        <v>1499</v>
      </c>
      <c r="D54" s="2">
        <v>0.03</v>
      </c>
      <c r="E54" s="1">
        <f t="shared" si="2"/>
        <v>40</v>
      </c>
      <c r="H54" t="str">
        <f t="shared" si="0"/>
        <v>Poor</v>
      </c>
      <c r="I54" t="str">
        <f t="shared" si="1"/>
        <v>Low Discount</v>
      </c>
    </row>
    <row r="55" spans="1:9" x14ac:dyDescent="0.3">
      <c r="A55" t="s">
        <v>59</v>
      </c>
      <c r="B55" s="1">
        <v>799</v>
      </c>
      <c r="C55" s="1">
        <v>1343</v>
      </c>
      <c r="D55" s="2">
        <v>0.41</v>
      </c>
      <c r="E55" s="1">
        <f t="shared" si="2"/>
        <v>544</v>
      </c>
      <c r="H55" t="str">
        <f t="shared" si="0"/>
        <v>Poor</v>
      </c>
      <c r="I55" t="str">
        <f t="shared" si="1"/>
        <v>High Discount</v>
      </c>
    </row>
    <row r="56" spans="1:9" x14ac:dyDescent="0.3">
      <c r="A56" t="s">
        <v>60</v>
      </c>
      <c r="B56" s="1">
        <v>499</v>
      </c>
      <c r="C56" s="1">
        <v>900</v>
      </c>
      <c r="D56" s="2">
        <v>0.45</v>
      </c>
      <c r="E56" s="1">
        <f t="shared" si="2"/>
        <v>401</v>
      </c>
      <c r="H56" t="str">
        <f t="shared" si="0"/>
        <v>Poor</v>
      </c>
      <c r="I56" t="str">
        <f t="shared" si="1"/>
        <v>High Discount</v>
      </c>
    </row>
    <row r="57" spans="1:9" x14ac:dyDescent="0.3">
      <c r="A57" t="s">
        <v>61</v>
      </c>
      <c r="B57" s="1">
        <v>699</v>
      </c>
      <c r="C57" s="1">
        <v>1343</v>
      </c>
      <c r="D57" s="2">
        <v>0.48</v>
      </c>
      <c r="E57" s="1">
        <f t="shared" si="2"/>
        <v>644</v>
      </c>
      <c r="H57" t="str">
        <f t="shared" si="0"/>
        <v>Poor</v>
      </c>
      <c r="I57" t="str">
        <f t="shared" si="1"/>
        <v>High Discount</v>
      </c>
    </row>
    <row r="58" spans="1:9" x14ac:dyDescent="0.3">
      <c r="A58" t="s">
        <v>62</v>
      </c>
      <c r="B58" s="1">
        <v>799</v>
      </c>
      <c r="C58" s="1">
        <v>1567</v>
      </c>
      <c r="D58" s="2">
        <v>0.49</v>
      </c>
      <c r="E58" s="1">
        <f t="shared" si="2"/>
        <v>768</v>
      </c>
      <c r="H58" t="str">
        <f t="shared" si="0"/>
        <v>Poor</v>
      </c>
      <c r="I58" t="str">
        <f t="shared" si="1"/>
        <v>High Discount</v>
      </c>
    </row>
    <row r="59" spans="1:9" x14ac:dyDescent="0.3">
      <c r="A59" t="s">
        <v>63</v>
      </c>
      <c r="B59" s="1">
        <v>2799</v>
      </c>
      <c r="C59" s="1">
        <v>3810</v>
      </c>
      <c r="D59" s="2">
        <v>0.27</v>
      </c>
      <c r="E59" s="1">
        <f t="shared" si="2"/>
        <v>1011</v>
      </c>
      <c r="H59" t="str">
        <f t="shared" si="0"/>
        <v>Poor</v>
      </c>
      <c r="I59" t="str">
        <f t="shared" si="1"/>
        <v>Low Discount</v>
      </c>
    </row>
    <row r="60" spans="1:9" x14ac:dyDescent="0.3">
      <c r="A60" t="s">
        <v>60</v>
      </c>
      <c r="B60" s="1">
        <v>399</v>
      </c>
      <c r="C60" s="1">
        <v>896</v>
      </c>
      <c r="D60" s="2">
        <v>0.55000000000000004</v>
      </c>
      <c r="E60" s="1">
        <f t="shared" si="2"/>
        <v>497</v>
      </c>
      <c r="H60" t="str">
        <f t="shared" si="0"/>
        <v>Poor</v>
      </c>
      <c r="I60" t="str">
        <f t="shared" si="1"/>
        <v>High Discount</v>
      </c>
    </row>
    <row r="61" spans="1:9" x14ac:dyDescent="0.3">
      <c r="A61" t="s">
        <v>64</v>
      </c>
      <c r="B61" s="1">
        <v>2170</v>
      </c>
      <c r="C61" s="1">
        <v>2500</v>
      </c>
      <c r="D61" s="2">
        <v>0.13</v>
      </c>
      <c r="E61" s="1">
        <f t="shared" si="2"/>
        <v>330</v>
      </c>
      <c r="F61">
        <v>-6</v>
      </c>
      <c r="G61" s="1">
        <v>2.5</v>
      </c>
      <c r="H61" t="str">
        <f t="shared" si="0"/>
        <v>Poor</v>
      </c>
      <c r="I61" t="str">
        <f t="shared" si="1"/>
        <v>Low Discount</v>
      </c>
    </row>
    <row r="62" spans="1:9" x14ac:dyDescent="0.3">
      <c r="A62" t="s">
        <v>65</v>
      </c>
      <c r="B62" s="1">
        <v>458</v>
      </c>
      <c r="C62" s="1">
        <v>986</v>
      </c>
      <c r="D62" s="2">
        <v>0.54</v>
      </c>
      <c r="E62" s="1">
        <f t="shared" si="2"/>
        <v>528</v>
      </c>
      <c r="F62">
        <v>-10</v>
      </c>
      <c r="G62" s="1">
        <v>3</v>
      </c>
      <c r="H62" t="str">
        <f t="shared" si="0"/>
        <v>Average</v>
      </c>
      <c r="I62" t="str">
        <f t="shared" si="1"/>
        <v>High Discount</v>
      </c>
    </row>
    <row r="63" spans="1:9" x14ac:dyDescent="0.3">
      <c r="A63" t="s">
        <v>66</v>
      </c>
      <c r="B63" s="1">
        <v>2115</v>
      </c>
      <c r="C63" s="1">
        <v>4700</v>
      </c>
      <c r="D63" s="2">
        <v>0.55000000000000004</v>
      </c>
      <c r="E63" s="1">
        <f t="shared" si="2"/>
        <v>2585</v>
      </c>
      <c r="F63">
        <v>-13</v>
      </c>
      <c r="G63" s="1">
        <v>2.1</v>
      </c>
      <c r="H63" t="str">
        <f t="shared" si="0"/>
        <v>Poor</v>
      </c>
      <c r="I63" t="str">
        <f t="shared" si="1"/>
        <v>High Discount</v>
      </c>
    </row>
    <row r="64" spans="1:9" x14ac:dyDescent="0.3">
      <c r="A64" t="s">
        <v>67</v>
      </c>
      <c r="B64" s="1">
        <v>445</v>
      </c>
      <c r="C64" s="1">
        <v>873</v>
      </c>
      <c r="D64" s="2">
        <v>0.49</v>
      </c>
      <c r="E64" s="1">
        <f t="shared" si="2"/>
        <v>428</v>
      </c>
      <c r="F64">
        <v>-69</v>
      </c>
      <c r="G64" s="1">
        <v>2.8</v>
      </c>
      <c r="H64" t="str">
        <f t="shared" si="0"/>
        <v>Poor</v>
      </c>
      <c r="I64" t="str">
        <f t="shared" si="1"/>
        <v>High Discount</v>
      </c>
    </row>
    <row r="65" spans="1:9" x14ac:dyDescent="0.3">
      <c r="A65" t="s">
        <v>68</v>
      </c>
      <c r="B65" s="1">
        <v>325</v>
      </c>
      <c r="C65" s="1">
        <v>680</v>
      </c>
      <c r="D65" s="2">
        <v>0.52</v>
      </c>
      <c r="E65" s="1">
        <f t="shared" si="2"/>
        <v>355</v>
      </c>
      <c r="F65">
        <v>-15</v>
      </c>
      <c r="G65" s="1">
        <v>2.7</v>
      </c>
      <c r="H65" t="str">
        <f t="shared" si="0"/>
        <v>Poor</v>
      </c>
      <c r="I65" t="str">
        <f t="shared" si="1"/>
        <v>High Discount</v>
      </c>
    </row>
    <row r="66" spans="1:9" x14ac:dyDescent="0.3">
      <c r="A66" t="s">
        <v>69</v>
      </c>
      <c r="B66" s="1">
        <v>1220</v>
      </c>
      <c r="C66" s="1">
        <v>1555</v>
      </c>
      <c r="D66" s="2">
        <v>0.22</v>
      </c>
      <c r="E66" s="1">
        <f t="shared" si="2"/>
        <v>335</v>
      </c>
      <c r="F66">
        <v>-16</v>
      </c>
      <c r="G66" s="1">
        <v>2.9</v>
      </c>
      <c r="H66" t="str">
        <f t="shared" si="0"/>
        <v>Poor</v>
      </c>
      <c r="I66" t="str">
        <f t="shared" si="1"/>
        <v>Low Discount</v>
      </c>
    </row>
    <row r="67" spans="1:9" x14ac:dyDescent="0.3">
      <c r="A67" t="s">
        <v>70</v>
      </c>
      <c r="B67" s="1">
        <v>990</v>
      </c>
      <c r="C67" s="1">
        <v>1814</v>
      </c>
      <c r="D67" s="2">
        <v>0.45</v>
      </c>
      <c r="E67" s="1">
        <f t="shared" si="2"/>
        <v>824</v>
      </c>
      <c r="F67">
        <v>-6</v>
      </c>
      <c r="G67" s="1">
        <v>2.2000000000000002</v>
      </c>
      <c r="H67" t="str">
        <f t="shared" ref="H67:H113" si="3">IF(G67&lt;3, "Poor", IF(G67&lt;=4, "Average", "Excellent"))</f>
        <v>Poor</v>
      </c>
      <c r="I67" t="str">
        <f t="shared" ref="I67:I113" si="4">IF(D67&lt;40%, "Low Discount", IF(D67&lt;=40%, "Medium Discount", "High Discount"))</f>
        <v>High Discount</v>
      </c>
    </row>
    <row r="68" spans="1:9" x14ac:dyDescent="0.3">
      <c r="A68" t="s">
        <v>71</v>
      </c>
      <c r="B68" s="1">
        <v>1000</v>
      </c>
      <c r="C68" s="1">
        <v>2000</v>
      </c>
      <c r="D68" s="2">
        <v>0.5</v>
      </c>
      <c r="E68" s="1">
        <f t="shared" ref="E68:E113" si="5">(C68-B68)</f>
        <v>1000</v>
      </c>
      <c r="F68">
        <v>-7</v>
      </c>
      <c r="G68" s="1">
        <v>2.2999999999999998</v>
      </c>
      <c r="H68" t="str">
        <f t="shared" si="3"/>
        <v>Poor</v>
      </c>
      <c r="I68" t="str">
        <f t="shared" si="4"/>
        <v>High Discount</v>
      </c>
    </row>
    <row r="69" spans="1:9" x14ac:dyDescent="0.3">
      <c r="A69" t="s">
        <v>72</v>
      </c>
      <c r="B69" s="4">
        <v>3750</v>
      </c>
      <c r="C69" s="1">
        <v>6143</v>
      </c>
      <c r="D69" s="2">
        <v>0.39</v>
      </c>
      <c r="E69" s="1">
        <f t="shared" si="5"/>
        <v>2393</v>
      </c>
      <c r="F69">
        <v>-5</v>
      </c>
      <c r="G69" s="1">
        <v>3</v>
      </c>
      <c r="H69" t="str">
        <f t="shared" si="3"/>
        <v>Average</v>
      </c>
      <c r="I69" t="str">
        <f t="shared" si="4"/>
        <v>Low Discount</v>
      </c>
    </row>
    <row r="70" spans="1:9" x14ac:dyDescent="0.3">
      <c r="A70" t="s">
        <v>73</v>
      </c>
      <c r="B70" s="1">
        <v>382</v>
      </c>
      <c r="C70" s="1">
        <v>700</v>
      </c>
      <c r="D70" s="2">
        <v>0.45</v>
      </c>
      <c r="E70" s="1">
        <f t="shared" si="5"/>
        <v>318</v>
      </c>
      <c r="F70">
        <v>-17</v>
      </c>
      <c r="G70" s="1">
        <v>2.6</v>
      </c>
      <c r="H70" t="str">
        <f t="shared" si="3"/>
        <v>Poor</v>
      </c>
      <c r="I70" t="str">
        <f t="shared" si="4"/>
        <v>High Discount</v>
      </c>
    </row>
    <row r="71" spans="1:9" x14ac:dyDescent="0.3">
      <c r="A71" t="s">
        <v>74</v>
      </c>
      <c r="B71" s="1">
        <v>2300</v>
      </c>
      <c r="C71" s="1">
        <v>3240</v>
      </c>
      <c r="D71" s="2">
        <v>0.28999999999999998</v>
      </c>
      <c r="E71" s="1">
        <f t="shared" si="5"/>
        <v>940</v>
      </c>
      <c r="F71">
        <v>-5</v>
      </c>
      <c r="G71" s="1">
        <v>3</v>
      </c>
      <c r="H71" t="str">
        <f t="shared" si="3"/>
        <v>Average</v>
      </c>
      <c r="I71" t="str">
        <f t="shared" si="4"/>
        <v>Low Discount</v>
      </c>
    </row>
    <row r="72" spans="1:9" x14ac:dyDescent="0.3">
      <c r="A72" t="s">
        <v>75</v>
      </c>
      <c r="B72" s="1">
        <v>345</v>
      </c>
      <c r="C72" s="1">
        <v>602</v>
      </c>
      <c r="D72" s="2">
        <v>0.43</v>
      </c>
      <c r="E72" s="1">
        <f t="shared" si="5"/>
        <v>257</v>
      </c>
      <c r="F72">
        <v>-6</v>
      </c>
      <c r="G72" s="1">
        <v>2.2999999999999998</v>
      </c>
      <c r="H72" t="str">
        <f t="shared" si="3"/>
        <v>Poor</v>
      </c>
      <c r="I72" t="str">
        <f t="shared" si="4"/>
        <v>High Discount</v>
      </c>
    </row>
    <row r="73" spans="1:9" x14ac:dyDescent="0.3">
      <c r="A73" t="s">
        <v>76</v>
      </c>
      <c r="B73" s="1">
        <v>509</v>
      </c>
      <c r="C73" s="1">
        <v>899</v>
      </c>
      <c r="D73" s="2">
        <v>0.43</v>
      </c>
      <c r="E73" s="1">
        <f t="shared" si="5"/>
        <v>390</v>
      </c>
      <c r="F73">
        <v>-5</v>
      </c>
      <c r="G73" s="1">
        <v>3</v>
      </c>
      <c r="H73" t="str">
        <f t="shared" si="3"/>
        <v>Average</v>
      </c>
      <c r="I73" t="str">
        <f t="shared" si="4"/>
        <v>High Discount</v>
      </c>
    </row>
    <row r="74" spans="1:9" x14ac:dyDescent="0.3">
      <c r="A74" t="s">
        <v>77</v>
      </c>
      <c r="B74" s="1">
        <v>968</v>
      </c>
      <c r="C74" s="1">
        <v>1814</v>
      </c>
      <c r="D74" s="2">
        <v>0.47</v>
      </c>
      <c r="E74" s="1">
        <f t="shared" si="5"/>
        <v>846</v>
      </c>
      <c r="F74">
        <v>-6</v>
      </c>
      <c r="G74" s="1">
        <v>2.2000000000000002</v>
      </c>
      <c r="H74" t="str">
        <f t="shared" si="3"/>
        <v>Poor</v>
      </c>
      <c r="I74" t="str">
        <f t="shared" si="4"/>
        <v>High Discount</v>
      </c>
    </row>
    <row r="75" spans="1:9" x14ac:dyDescent="0.3">
      <c r="A75" t="s">
        <v>78</v>
      </c>
      <c r="B75" s="1">
        <v>1570</v>
      </c>
      <c r="C75" s="1">
        <v>2988</v>
      </c>
      <c r="D75" s="2">
        <v>0.47</v>
      </c>
      <c r="E75" s="1">
        <f t="shared" si="5"/>
        <v>1418</v>
      </c>
      <c r="F75">
        <v>-7</v>
      </c>
      <c r="G75" s="1">
        <v>2.1</v>
      </c>
      <c r="H75" t="str">
        <f t="shared" si="3"/>
        <v>Poor</v>
      </c>
      <c r="I75" t="str">
        <f t="shared" si="4"/>
        <v>High Discount</v>
      </c>
    </row>
    <row r="76" spans="1:9" x14ac:dyDescent="0.3">
      <c r="A76" t="s">
        <v>79</v>
      </c>
      <c r="B76" s="1">
        <v>790</v>
      </c>
      <c r="C76" s="1">
        <v>1485</v>
      </c>
      <c r="D76" s="2">
        <v>0.47</v>
      </c>
      <c r="E76" s="1">
        <f t="shared" si="5"/>
        <v>695</v>
      </c>
      <c r="H76" t="str">
        <f t="shared" si="3"/>
        <v>Poor</v>
      </c>
      <c r="I76" t="str">
        <f t="shared" si="4"/>
        <v>High Discount</v>
      </c>
    </row>
    <row r="77" spans="1:9" x14ac:dyDescent="0.3">
      <c r="A77" t="s">
        <v>80</v>
      </c>
      <c r="B77" s="1">
        <v>690</v>
      </c>
      <c r="C77" s="1">
        <v>1200</v>
      </c>
      <c r="D77" s="2">
        <v>0.43</v>
      </c>
      <c r="E77" s="1">
        <f t="shared" si="5"/>
        <v>510</v>
      </c>
      <c r="H77" t="str">
        <f t="shared" si="3"/>
        <v>Poor</v>
      </c>
      <c r="I77" t="str">
        <f t="shared" si="4"/>
        <v>High Discount</v>
      </c>
    </row>
    <row r="78" spans="1:9" x14ac:dyDescent="0.3">
      <c r="A78" t="s">
        <v>81</v>
      </c>
      <c r="B78" s="1">
        <v>1732</v>
      </c>
      <c r="C78" s="1">
        <v>1799</v>
      </c>
      <c r="D78" s="2">
        <v>0.04</v>
      </c>
      <c r="E78" s="1">
        <f t="shared" si="5"/>
        <v>67</v>
      </c>
      <c r="H78" t="str">
        <f t="shared" si="3"/>
        <v>Poor</v>
      </c>
      <c r="I78" t="str">
        <f t="shared" si="4"/>
        <v>Low Discount</v>
      </c>
    </row>
    <row r="79" spans="1:9" x14ac:dyDescent="0.3">
      <c r="A79" t="s">
        <v>82</v>
      </c>
      <c r="B79" s="1">
        <v>230</v>
      </c>
      <c r="C79" s="1">
        <v>450</v>
      </c>
      <c r="D79" s="2">
        <v>0.49</v>
      </c>
      <c r="E79" s="1">
        <f t="shared" si="5"/>
        <v>220</v>
      </c>
      <c r="H79" t="str">
        <f t="shared" si="3"/>
        <v>Poor</v>
      </c>
      <c r="I79" t="str">
        <f t="shared" si="4"/>
        <v>High Discount</v>
      </c>
    </row>
    <row r="80" spans="1:9" x14ac:dyDescent="0.3">
      <c r="A80" t="s">
        <v>83</v>
      </c>
      <c r="B80" s="1">
        <v>1189</v>
      </c>
      <c r="C80" s="1">
        <v>2199</v>
      </c>
      <c r="D80" s="2">
        <v>0.46</v>
      </c>
      <c r="E80" s="1">
        <f t="shared" si="5"/>
        <v>1010</v>
      </c>
      <c r="F80">
        <v>-1</v>
      </c>
      <c r="G80" s="1">
        <v>3</v>
      </c>
      <c r="H80" t="str">
        <f t="shared" si="3"/>
        <v>Average</v>
      </c>
      <c r="I80" t="str">
        <f t="shared" si="4"/>
        <v>High Discount</v>
      </c>
    </row>
    <row r="81" spans="1:9" x14ac:dyDescent="0.3">
      <c r="A81" t="s">
        <v>84</v>
      </c>
      <c r="B81" s="1">
        <v>979</v>
      </c>
      <c r="C81" s="1">
        <v>1920</v>
      </c>
      <c r="D81" s="2">
        <v>0.49</v>
      </c>
      <c r="E81" s="1">
        <f t="shared" si="5"/>
        <v>941</v>
      </c>
      <c r="F81">
        <v>-1</v>
      </c>
      <c r="G81" s="1">
        <v>5</v>
      </c>
      <c r="H81" t="str">
        <f t="shared" si="3"/>
        <v>Excellent</v>
      </c>
      <c r="I81" t="str">
        <f t="shared" si="4"/>
        <v>High Discount</v>
      </c>
    </row>
    <row r="82" spans="1:9" x14ac:dyDescent="0.3">
      <c r="A82" t="s">
        <v>85</v>
      </c>
      <c r="B82" s="1">
        <v>1460</v>
      </c>
      <c r="C82" s="1">
        <v>2290</v>
      </c>
      <c r="D82" s="2">
        <v>0.36</v>
      </c>
      <c r="E82" s="1">
        <f t="shared" si="5"/>
        <v>830</v>
      </c>
      <c r="H82" t="str">
        <f t="shared" si="3"/>
        <v>Poor</v>
      </c>
      <c r="I82" t="str">
        <f t="shared" si="4"/>
        <v>Low Discount</v>
      </c>
    </row>
    <row r="83" spans="1:9" x14ac:dyDescent="0.3">
      <c r="A83" t="s">
        <v>86</v>
      </c>
      <c r="B83" s="1">
        <v>1666</v>
      </c>
      <c r="C83" s="1">
        <v>1699</v>
      </c>
      <c r="D83" s="2">
        <v>0.02</v>
      </c>
      <c r="E83" s="1">
        <f t="shared" si="5"/>
        <v>33</v>
      </c>
      <c r="H83" t="str">
        <f t="shared" si="3"/>
        <v>Poor</v>
      </c>
      <c r="I83" t="str">
        <f t="shared" si="4"/>
        <v>Low Discount</v>
      </c>
    </row>
    <row r="84" spans="1:9" x14ac:dyDescent="0.3">
      <c r="A84" t="s">
        <v>87</v>
      </c>
      <c r="B84" s="1">
        <v>330</v>
      </c>
      <c r="C84" s="1">
        <v>647</v>
      </c>
      <c r="D84" s="2">
        <v>0.49</v>
      </c>
      <c r="E84" s="1">
        <f t="shared" si="5"/>
        <v>317</v>
      </c>
      <c r="F84">
        <v>-1</v>
      </c>
      <c r="G84" s="1">
        <v>4</v>
      </c>
      <c r="H84" t="str">
        <f t="shared" si="3"/>
        <v>Average</v>
      </c>
      <c r="I84" t="str">
        <f t="shared" si="4"/>
        <v>High Discount</v>
      </c>
    </row>
    <row r="85" spans="1:9" x14ac:dyDescent="0.3">
      <c r="A85" t="s">
        <v>54</v>
      </c>
      <c r="B85" s="1">
        <v>176</v>
      </c>
      <c r="C85" s="1">
        <v>345</v>
      </c>
      <c r="D85" s="2">
        <v>0.49</v>
      </c>
      <c r="E85" s="1">
        <f t="shared" si="5"/>
        <v>169</v>
      </c>
      <c r="H85" t="str">
        <f t="shared" si="3"/>
        <v>Poor</v>
      </c>
      <c r="I85" t="str">
        <f t="shared" si="4"/>
        <v>High Discount</v>
      </c>
    </row>
    <row r="86" spans="1:9" x14ac:dyDescent="0.3">
      <c r="A86" t="s">
        <v>88</v>
      </c>
      <c r="B86" s="1">
        <v>1466</v>
      </c>
      <c r="C86" s="1">
        <v>1699</v>
      </c>
      <c r="D86" s="2">
        <v>0.14000000000000001</v>
      </c>
      <c r="E86" s="1">
        <f t="shared" si="5"/>
        <v>233</v>
      </c>
      <c r="H86" t="str">
        <f t="shared" si="3"/>
        <v>Poor</v>
      </c>
      <c r="I86" t="str">
        <f t="shared" si="4"/>
        <v>Low Discount</v>
      </c>
    </row>
    <row r="87" spans="1:9" x14ac:dyDescent="0.3">
      <c r="A87" t="s">
        <v>89</v>
      </c>
      <c r="B87" s="1">
        <v>274</v>
      </c>
      <c r="C87" s="1">
        <v>537</v>
      </c>
      <c r="D87" s="2">
        <v>0.49</v>
      </c>
      <c r="E87" s="1">
        <f t="shared" si="5"/>
        <v>263</v>
      </c>
      <c r="H87" t="str">
        <f t="shared" si="3"/>
        <v>Poor</v>
      </c>
      <c r="I87" t="str">
        <f t="shared" si="4"/>
        <v>High Discount</v>
      </c>
    </row>
    <row r="88" spans="1:9" x14ac:dyDescent="0.3">
      <c r="A88" t="s">
        <v>90</v>
      </c>
      <c r="B88" s="1">
        <v>799</v>
      </c>
      <c r="C88" s="1">
        <v>900</v>
      </c>
      <c r="D88" s="2">
        <v>0.11</v>
      </c>
      <c r="E88" s="1">
        <f t="shared" si="5"/>
        <v>101</v>
      </c>
      <c r="H88" t="str">
        <f t="shared" si="3"/>
        <v>Poor</v>
      </c>
      <c r="I88" t="str">
        <f t="shared" si="4"/>
        <v>Low Discount</v>
      </c>
    </row>
    <row r="89" spans="1:9" x14ac:dyDescent="0.3">
      <c r="A89" t="s">
        <v>62</v>
      </c>
      <c r="B89" s="1">
        <v>657</v>
      </c>
      <c r="C89" s="1">
        <v>1288</v>
      </c>
      <c r="D89" s="2">
        <v>0.49</v>
      </c>
      <c r="E89" s="1">
        <f t="shared" si="5"/>
        <v>631</v>
      </c>
      <c r="H89" t="str">
        <f t="shared" si="3"/>
        <v>Poor</v>
      </c>
      <c r="I89" t="str">
        <f t="shared" si="4"/>
        <v>High Discount</v>
      </c>
    </row>
    <row r="90" spans="1:9" x14ac:dyDescent="0.3">
      <c r="A90" t="s">
        <v>91</v>
      </c>
      <c r="B90" s="1">
        <v>1468</v>
      </c>
      <c r="C90" s="1">
        <v>1699</v>
      </c>
      <c r="D90" s="2">
        <v>0.14000000000000001</v>
      </c>
      <c r="E90" s="1">
        <f t="shared" si="5"/>
        <v>231</v>
      </c>
      <c r="H90" t="str">
        <f t="shared" si="3"/>
        <v>Poor</v>
      </c>
      <c r="I90" t="str">
        <f t="shared" si="4"/>
        <v>Low Discount</v>
      </c>
    </row>
    <row r="91" spans="1:9" x14ac:dyDescent="0.3">
      <c r="A91" t="s">
        <v>92</v>
      </c>
      <c r="B91" s="1">
        <v>630</v>
      </c>
      <c r="C91" s="1">
        <v>1100</v>
      </c>
      <c r="D91" s="2">
        <v>0.43</v>
      </c>
      <c r="E91" s="1">
        <f t="shared" si="5"/>
        <v>470</v>
      </c>
      <c r="H91" t="str">
        <f t="shared" si="3"/>
        <v>Poor</v>
      </c>
      <c r="I91" t="str">
        <f t="shared" si="4"/>
        <v>High Discount</v>
      </c>
    </row>
    <row r="92" spans="1:9" x14ac:dyDescent="0.3">
      <c r="A92" t="s">
        <v>93</v>
      </c>
      <c r="B92" s="1">
        <v>850</v>
      </c>
      <c r="C92" s="1">
        <v>1700</v>
      </c>
      <c r="D92" s="2">
        <v>0.5</v>
      </c>
      <c r="E92" s="1">
        <f t="shared" si="5"/>
        <v>850</v>
      </c>
      <c r="H92" t="str">
        <f t="shared" si="3"/>
        <v>Poor</v>
      </c>
      <c r="I92" t="str">
        <f t="shared" si="4"/>
        <v>High Discount</v>
      </c>
    </row>
    <row r="93" spans="1:9" x14ac:dyDescent="0.3">
      <c r="A93" t="s">
        <v>94</v>
      </c>
      <c r="B93" s="1">
        <v>1300</v>
      </c>
      <c r="C93" s="1">
        <v>2500</v>
      </c>
      <c r="D93" s="2">
        <v>0.48</v>
      </c>
      <c r="E93" s="1">
        <f t="shared" si="5"/>
        <v>1200</v>
      </c>
      <c r="H93" t="str">
        <f t="shared" si="3"/>
        <v>Poor</v>
      </c>
      <c r="I93" t="str">
        <f t="shared" si="4"/>
        <v>High Discount</v>
      </c>
    </row>
    <row r="94" spans="1:9" x14ac:dyDescent="0.3">
      <c r="A94" t="s">
        <v>95</v>
      </c>
      <c r="B94" s="1">
        <v>105</v>
      </c>
      <c r="C94" s="1">
        <v>200</v>
      </c>
      <c r="D94" s="2">
        <v>0.48</v>
      </c>
      <c r="E94" s="1">
        <f t="shared" si="5"/>
        <v>95</v>
      </c>
      <c r="H94" t="str">
        <f t="shared" si="3"/>
        <v>Poor</v>
      </c>
      <c r="I94" t="str">
        <f t="shared" si="4"/>
        <v>High Discount</v>
      </c>
    </row>
    <row r="95" spans="1:9" x14ac:dyDescent="0.3">
      <c r="A95" t="s">
        <v>96</v>
      </c>
      <c r="B95" s="1">
        <v>899</v>
      </c>
      <c r="C95" s="1">
        <v>1699</v>
      </c>
      <c r="D95" s="2">
        <v>0.47</v>
      </c>
      <c r="E95" s="1">
        <f t="shared" si="5"/>
        <v>800</v>
      </c>
      <c r="H95" t="str">
        <f t="shared" si="3"/>
        <v>Poor</v>
      </c>
      <c r="I95" t="str">
        <f t="shared" si="4"/>
        <v>High Discount</v>
      </c>
    </row>
    <row r="96" spans="1:9" x14ac:dyDescent="0.3">
      <c r="A96" t="s">
        <v>97</v>
      </c>
      <c r="B96" s="1">
        <v>1200</v>
      </c>
      <c r="C96" s="1">
        <v>2400</v>
      </c>
      <c r="D96" s="2">
        <v>0.5</v>
      </c>
      <c r="E96" s="1">
        <f t="shared" si="5"/>
        <v>1200</v>
      </c>
      <c r="H96" t="str">
        <f t="shared" si="3"/>
        <v>Poor</v>
      </c>
      <c r="I96" t="str">
        <f t="shared" si="4"/>
        <v>High Discount</v>
      </c>
    </row>
    <row r="97" spans="1:9" x14ac:dyDescent="0.3">
      <c r="A97" t="s">
        <v>98</v>
      </c>
      <c r="B97" s="1">
        <v>1526</v>
      </c>
      <c r="C97" s="1">
        <v>1660</v>
      </c>
      <c r="D97" s="2">
        <v>0.08</v>
      </c>
      <c r="E97" s="1">
        <f t="shared" si="5"/>
        <v>134</v>
      </c>
      <c r="H97" t="str">
        <f t="shared" si="3"/>
        <v>Poor</v>
      </c>
      <c r="I97" t="str">
        <f t="shared" si="4"/>
        <v>Low Discount</v>
      </c>
    </row>
    <row r="98" spans="1:9" x14ac:dyDescent="0.3">
      <c r="A98" t="s">
        <v>99</v>
      </c>
      <c r="B98" s="1">
        <v>1462</v>
      </c>
      <c r="C98" s="1">
        <v>1499</v>
      </c>
      <c r="D98" s="2">
        <v>0.02</v>
      </c>
      <c r="E98" s="1">
        <f t="shared" si="5"/>
        <v>37</v>
      </c>
      <c r="H98" t="str">
        <f t="shared" si="3"/>
        <v>Poor</v>
      </c>
      <c r="I98" t="str">
        <f t="shared" si="4"/>
        <v>Low Discount</v>
      </c>
    </row>
    <row r="99" spans="1:9" x14ac:dyDescent="0.3">
      <c r="A99" t="s">
        <v>100</v>
      </c>
      <c r="B99" s="1">
        <v>248</v>
      </c>
      <c r="C99" s="1">
        <v>486</v>
      </c>
      <c r="D99" s="2">
        <v>0.49</v>
      </c>
      <c r="E99" s="1">
        <f t="shared" si="5"/>
        <v>238</v>
      </c>
      <c r="H99" t="str">
        <f t="shared" si="3"/>
        <v>Poor</v>
      </c>
      <c r="I99" t="str">
        <f t="shared" si="4"/>
        <v>High Discount</v>
      </c>
    </row>
    <row r="100" spans="1:9" x14ac:dyDescent="0.3">
      <c r="A100" t="s">
        <v>101</v>
      </c>
      <c r="B100" s="1">
        <v>3546</v>
      </c>
      <c r="C100" s="1">
        <v>3699</v>
      </c>
      <c r="D100" s="2">
        <v>0.04</v>
      </c>
      <c r="E100" s="1">
        <f t="shared" si="5"/>
        <v>153</v>
      </c>
      <c r="H100" t="str">
        <f t="shared" si="3"/>
        <v>Poor</v>
      </c>
      <c r="I100" t="str">
        <f t="shared" si="4"/>
        <v>Low Discount</v>
      </c>
    </row>
    <row r="101" spans="1:9" x14ac:dyDescent="0.3">
      <c r="A101" t="s">
        <v>102</v>
      </c>
      <c r="B101" s="1">
        <v>525</v>
      </c>
      <c r="C101" s="1">
        <v>1029</v>
      </c>
      <c r="D101" s="2">
        <v>0.49</v>
      </c>
      <c r="E101" s="1">
        <f t="shared" si="5"/>
        <v>504</v>
      </c>
      <c r="H101" t="str">
        <f t="shared" si="3"/>
        <v>Poor</v>
      </c>
      <c r="I101" t="str">
        <f t="shared" si="4"/>
        <v>High Discount</v>
      </c>
    </row>
    <row r="102" spans="1:9" x14ac:dyDescent="0.3">
      <c r="A102" t="s">
        <v>103</v>
      </c>
      <c r="B102" s="1">
        <v>1080</v>
      </c>
      <c r="C102" s="1">
        <v>1874</v>
      </c>
      <c r="D102" s="2">
        <v>0.42</v>
      </c>
      <c r="E102" s="1">
        <f t="shared" si="5"/>
        <v>794</v>
      </c>
      <c r="H102" t="str">
        <f t="shared" si="3"/>
        <v>Poor</v>
      </c>
      <c r="I102" t="str">
        <f t="shared" si="4"/>
        <v>High Discount</v>
      </c>
    </row>
    <row r="103" spans="1:9" x14ac:dyDescent="0.3">
      <c r="A103" t="s">
        <v>104</v>
      </c>
      <c r="B103" s="1">
        <v>3640</v>
      </c>
      <c r="C103" s="1">
        <v>4588</v>
      </c>
      <c r="D103" s="2">
        <v>0.21</v>
      </c>
      <c r="E103" s="1">
        <f t="shared" si="5"/>
        <v>948</v>
      </c>
      <c r="F103">
        <v>-1</v>
      </c>
      <c r="G103" s="1">
        <v>5</v>
      </c>
      <c r="H103" t="str">
        <f t="shared" si="3"/>
        <v>Excellent</v>
      </c>
      <c r="I103" t="str">
        <f t="shared" si="4"/>
        <v>Low Discount</v>
      </c>
    </row>
    <row r="104" spans="1:9" x14ac:dyDescent="0.3">
      <c r="A104" t="s">
        <v>105</v>
      </c>
      <c r="B104" s="1">
        <v>1420</v>
      </c>
      <c r="C104" s="1">
        <v>2420</v>
      </c>
      <c r="D104" s="2">
        <v>0.41</v>
      </c>
      <c r="E104" s="1">
        <f t="shared" si="5"/>
        <v>1000</v>
      </c>
      <c r="H104" t="str">
        <f t="shared" si="3"/>
        <v>Poor</v>
      </c>
      <c r="I104" t="str">
        <f t="shared" si="4"/>
        <v>High Discount</v>
      </c>
    </row>
    <row r="105" spans="1:9" x14ac:dyDescent="0.3">
      <c r="A105" t="s">
        <v>106</v>
      </c>
      <c r="B105" s="1">
        <v>1875</v>
      </c>
      <c r="C105" s="1">
        <v>1899</v>
      </c>
      <c r="D105" s="2">
        <v>0.01</v>
      </c>
      <c r="E105" s="1">
        <f t="shared" si="5"/>
        <v>24</v>
      </c>
      <c r="H105" t="str">
        <f t="shared" si="3"/>
        <v>Poor</v>
      </c>
      <c r="I105" t="str">
        <f t="shared" si="4"/>
        <v>Low Discount</v>
      </c>
    </row>
    <row r="106" spans="1:9" x14ac:dyDescent="0.3">
      <c r="A106" t="s">
        <v>107</v>
      </c>
      <c r="B106" s="1">
        <v>198</v>
      </c>
      <c r="C106" s="1">
        <v>260</v>
      </c>
      <c r="D106" s="2">
        <v>0.24</v>
      </c>
      <c r="E106" s="1">
        <f t="shared" si="5"/>
        <v>62</v>
      </c>
      <c r="H106" t="str">
        <f t="shared" si="3"/>
        <v>Poor</v>
      </c>
      <c r="I106" t="str">
        <f t="shared" si="4"/>
        <v>Low Discount</v>
      </c>
    </row>
    <row r="107" spans="1:9" x14ac:dyDescent="0.3">
      <c r="A107" t="s">
        <v>108</v>
      </c>
      <c r="B107" s="1">
        <v>1150</v>
      </c>
      <c r="C107" s="1">
        <v>1737</v>
      </c>
      <c r="D107" s="2">
        <v>0.34</v>
      </c>
      <c r="E107" s="1">
        <f t="shared" si="5"/>
        <v>587</v>
      </c>
      <c r="H107" t="str">
        <f t="shared" si="3"/>
        <v>Poor</v>
      </c>
      <c r="I107" t="str">
        <f t="shared" si="4"/>
        <v>Low Discount</v>
      </c>
    </row>
    <row r="108" spans="1:9" x14ac:dyDescent="0.3">
      <c r="A108" t="s">
        <v>109</v>
      </c>
      <c r="B108" s="1">
        <v>1190</v>
      </c>
      <c r="C108" s="1">
        <v>1810</v>
      </c>
      <c r="D108" s="2">
        <v>0.34</v>
      </c>
      <c r="E108" s="1">
        <f t="shared" si="5"/>
        <v>620</v>
      </c>
      <c r="H108" t="str">
        <f t="shared" si="3"/>
        <v>Poor</v>
      </c>
      <c r="I108" t="str">
        <f t="shared" si="4"/>
        <v>Low Discount</v>
      </c>
    </row>
    <row r="109" spans="1:9" x14ac:dyDescent="0.3">
      <c r="A109" t="s">
        <v>110</v>
      </c>
      <c r="B109" s="1">
        <v>1658</v>
      </c>
      <c r="C109" s="1">
        <v>1699</v>
      </c>
      <c r="D109" s="2">
        <v>0.02</v>
      </c>
      <c r="E109" s="1">
        <f t="shared" si="5"/>
        <v>41</v>
      </c>
      <c r="H109" t="str">
        <f t="shared" si="3"/>
        <v>Poor</v>
      </c>
      <c r="I109" t="str">
        <f t="shared" si="4"/>
        <v>Low Discount</v>
      </c>
    </row>
    <row r="110" spans="1:9" x14ac:dyDescent="0.3">
      <c r="A110" t="s">
        <v>111</v>
      </c>
      <c r="B110" s="1">
        <v>1768</v>
      </c>
      <c r="C110" s="1">
        <v>1799</v>
      </c>
      <c r="D110" s="2">
        <v>0.02</v>
      </c>
      <c r="E110" s="1">
        <f t="shared" si="5"/>
        <v>31</v>
      </c>
      <c r="H110" t="str">
        <f t="shared" si="3"/>
        <v>Poor</v>
      </c>
      <c r="I110" t="str">
        <f t="shared" si="4"/>
        <v>Low Discount</v>
      </c>
    </row>
    <row r="111" spans="1:9" x14ac:dyDescent="0.3">
      <c r="A111" t="s">
        <v>112</v>
      </c>
      <c r="B111" s="1">
        <v>199</v>
      </c>
      <c r="C111" s="1">
        <v>553</v>
      </c>
      <c r="D111" s="2">
        <v>0.64</v>
      </c>
      <c r="E111" s="1">
        <f t="shared" si="5"/>
        <v>354</v>
      </c>
      <c r="H111" t="str">
        <f t="shared" si="3"/>
        <v>Poor</v>
      </c>
      <c r="I111" t="str">
        <f t="shared" si="4"/>
        <v>High Discount</v>
      </c>
    </row>
    <row r="112" spans="1:9" x14ac:dyDescent="0.3">
      <c r="A112" t="s">
        <v>113</v>
      </c>
      <c r="B112" s="1">
        <v>450</v>
      </c>
      <c r="C112" s="1">
        <v>900</v>
      </c>
      <c r="D112" s="2">
        <v>0.5</v>
      </c>
      <c r="E112" s="1">
        <f t="shared" si="5"/>
        <v>450</v>
      </c>
      <c r="F112">
        <v>-1</v>
      </c>
      <c r="G112" s="1">
        <v>2</v>
      </c>
      <c r="H112" t="str">
        <f t="shared" si="3"/>
        <v>Poor</v>
      </c>
      <c r="I112" t="str">
        <f t="shared" si="4"/>
        <v>High Discount</v>
      </c>
    </row>
    <row r="113" spans="1:9" x14ac:dyDescent="0.3">
      <c r="A113" t="s">
        <v>114</v>
      </c>
      <c r="B113" s="1">
        <v>169</v>
      </c>
      <c r="C113" s="1">
        <v>320</v>
      </c>
      <c r="D113" s="2">
        <v>0.47</v>
      </c>
      <c r="E113" s="1">
        <f t="shared" si="5"/>
        <v>151</v>
      </c>
      <c r="H113" t="str">
        <f t="shared" si="3"/>
        <v>Poor</v>
      </c>
      <c r="I113" t="str">
        <f t="shared" si="4"/>
        <v>High Discount</v>
      </c>
    </row>
    <row r="114" spans="1:9" x14ac:dyDescent="0.3">
      <c r="B114" s="1">
        <f>AVERAGE(B2:B113)</f>
        <v>1172.4285714285713</v>
      </c>
      <c r="C114" s="1">
        <f>AVERAGE(C2:C113)</f>
        <v>1791.4642857142858</v>
      </c>
      <c r="D114" s="2">
        <f>AVERAGE(D2:D113)</f>
        <v>0.36776785714285715</v>
      </c>
      <c r="G114" s="1">
        <f>AVERAGE(G2:G113)</f>
        <v>3.8894736842105258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ACEF1-166D-43CC-BF1B-93132D1DB8D4}">
  <dimension ref="A1:O114"/>
  <sheetViews>
    <sheetView workbookViewId="0">
      <selection activeCell="D20" sqref="D20:O20"/>
    </sheetView>
  </sheetViews>
  <sheetFormatPr defaultRowHeight="14.4" x14ac:dyDescent="0.3"/>
  <cols>
    <col min="1" max="1" width="87.88671875" bestFit="1" customWidth="1"/>
    <col min="2" max="2" width="11.5546875" style="1" bestFit="1" customWidth="1"/>
  </cols>
  <sheetData>
    <row r="1" spans="1:2" x14ac:dyDescent="0.3">
      <c r="A1" t="s">
        <v>0</v>
      </c>
      <c r="B1" s="1" t="s">
        <v>1</v>
      </c>
    </row>
    <row r="2" spans="1:2" x14ac:dyDescent="0.3">
      <c r="A2" t="s">
        <v>26</v>
      </c>
      <c r="B2" s="3">
        <v>38</v>
      </c>
    </row>
    <row r="3" spans="1:2" x14ac:dyDescent="0.3">
      <c r="A3" t="s">
        <v>95</v>
      </c>
      <c r="B3" s="1">
        <v>105</v>
      </c>
    </row>
    <row r="4" spans="1:2" x14ac:dyDescent="0.3">
      <c r="A4" t="s">
        <v>114</v>
      </c>
      <c r="B4" s="1">
        <v>169</v>
      </c>
    </row>
    <row r="5" spans="1:2" x14ac:dyDescent="0.3">
      <c r="A5" t="s">
        <v>42</v>
      </c>
      <c r="B5" s="1">
        <v>171</v>
      </c>
    </row>
    <row r="6" spans="1:2" x14ac:dyDescent="0.3">
      <c r="A6" t="s">
        <v>54</v>
      </c>
      <c r="B6" s="1">
        <v>176</v>
      </c>
    </row>
    <row r="7" spans="1:2" x14ac:dyDescent="0.3">
      <c r="A7" t="s">
        <v>44</v>
      </c>
      <c r="B7" s="1">
        <f>(1980-1620)/2</f>
        <v>180</v>
      </c>
    </row>
    <row r="8" spans="1:2" x14ac:dyDescent="0.3">
      <c r="A8" t="s">
        <v>36</v>
      </c>
      <c r="B8" s="1">
        <v>185</v>
      </c>
    </row>
    <row r="9" spans="1:2" x14ac:dyDescent="0.3">
      <c r="A9" t="s">
        <v>22</v>
      </c>
      <c r="B9" s="1">
        <v>195</v>
      </c>
    </row>
    <row r="10" spans="1:2" x14ac:dyDescent="0.3">
      <c r="A10" t="s">
        <v>107</v>
      </c>
      <c r="B10" s="1">
        <v>198</v>
      </c>
    </row>
    <row r="11" spans="1:2" x14ac:dyDescent="0.3">
      <c r="A11" t="s">
        <v>54</v>
      </c>
      <c r="B11" s="1">
        <v>199</v>
      </c>
    </row>
    <row r="12" spans="1:2" x14ac:dyDescent="0.3">
      <c r="A12" t="s">
        <v>112</v>
      </c>
      <c r="B12" s="1">
        <v>199</v>
      </c>
    </row>
    <row r="13" spans="1:2" x14ac:dyDescent="0.3">
      <c r="A13" t="s">
        <v>82</v>
      </c>
      <c r="B13" s="1">
        <v>230</v>
      </c>
    </row>
    <row r="14" spans="1:2" x14ac:dyDescent="0.3">
      <c r="A14" t="s">
        <v>47</v>
      </c>
      <c r="B14" s="1">
        <v>238</v>
      </c>
    </row>
    <row r="15" spans="1:2" x14ac:dyDescent="0.3">
      <c r="A15" t="s">
        <v>100</v>
      </c>
      <c r="B15" s="1">
        <v>248</v>
      </c>
    </row>
    <row r="16" spans="1:2" x14ac:dyDescent="0.3">
      <c r="A16" t="s">
        <v>89</v>
      </c>
      <c r="B16" s="1">
        <v>274</v>
      </c>
    </row>
    <row r="17" spans="1:15" x14ac:dyDescent="0.3">
      <c r="A17" t="s">
        <v>55</v>
      </c>
      <c r="B17" s="1">
        <v>299</v>
      </c>
    </row>
    <row r="18" spans="1:15" x14ac:dyDescent="0.3">
      <c r="A18" t="s">
        <v>57</v>
      </c>
      <c r="B18" s="1">
        <v>299</v>
      </c>
    </row>
    <row r="19" spans="1:15" x14ac:dyDescent="0.3">
      <c r="A19" t="s">
        <v>68</v>
      </c>
      <c r="B19" s="1">
        <v>325</v>
      </c>
    </row>
    <row r="20" spans="1:15" ht="16.8" x14ac:dyDescent="0.4">
      <c r="A20" t="s">
        <v>87</v>
      </c>
      <c r="B20" s="1">
        <v>330</v>
      </c>
      <c r="D20" s="12" t="s">
        <v>143</v>
      </c>
      <c r="E20" s="13"/>
      <c r="F20" s="13"/>
      <c r="G20" s="13"/>
      <c r="H20" s="13"/>
      <c r="I20" s="13"/>
      <c r="J20" s="13"/>
      <c r="K20" s="13"/>
      <c r="L20" s="13"/>
      <c r="M20" s="13"/>
      <c r="N20" s="13"/>
      <c r="O20" s="13"/>
    </row>
    <row r="21" spans="1:15" x14ac:dyDescent="0.3">
      <c r="A21" t="s">
        <v>21</v>
      </c>
      <c r="B21" s="1">
        <v>332</v>
      </c>
    </row>
    <row r="22" spans="1:15" x14ac:dyDescent="0.3">
      <c r="A22" t="s">
        <v>75</v>
      </c>
      <c r="B22" s="1">
        <v>345</v>
      </c>
    </row>
    <row r="23" spans="1:15" x14ac:dyDescent="0.3">
      <c r="A23" t="s">
        <v>73</v>
      </c>
      <c r="B23" s="1">
        <v>382</v>
      </c>
    </row>
    <row r="24" spans="1:15" x14ac:dyDescent="0.3">
      <c r="A24" t="s">
        <v>43</v>
      </c>
      <c r="B24" s="1">
        <v>389</v>
      </c>
    </row>
    <row r="25" spans="1:15" x14ac:dyDescent="0.3">
      <c r="A25" t="s">
        <v>60</v>
      </c>
      <c r="B25" s="1">
        <v>399</v>
      </c>
    </row>
    <row r="26" spans="1:15" x14ac:dyDescent="0.3">
      <c r="A26" t="s">
        <v>31</v>
      </c>
      <c r="B26" s="1">
        <v>420</v>
      </c>
    </row>
    <row r="27" spans="1:15" x14ac:dyDescent="0.3">
      <c r="A27" t="s">
        <v>67</v>
      </c>
      <c r="B27" s="1">
        <v>445</v>
      </c>
    </row>
    <row r="28" spans="1:15" x14ac:dyDescent="0.3">
      <c r="A28" t="s">
        <v>113</v>
      </c>
      <c r="B28" s="1">
        <v>450</v>
      </c>
    </row>
    <row r="29" spans="1:15" x14ac:dyDescent="0.3">
      <c r="A29" t="s">
        <v>65</v>
      </c>
      <c r="B29" s="1">
        <v>458</v>
      </c>
    </row>
    <row r="30" spans="1:15" x14ac:dyDescent="0.3">
      <c r="A30" t="s">
        <v>46</v>
      </c>
      <c r="B30" s="1">
        <v>475</v>
      </c>
    </row>
    <row r="31" spans="1:15" x14ac:dyDescent="0.3">
      <c r="A31" t="s">
        <v>60</v>
      </c>
      <c r="B31" s="1">
        <v>499</v>
      </c>
    </row>
    <row r="32" spans="1:15" x14ac:dyDescent="0.3">
      <c r="A32" t="s">
        <v>19</v>
      </c>
      <c r="B32" s="1">
        <v>501</v>
      </c>
    </row>
    <row r="33" spans="1:2" x14ac:dyDescent="0.3">
      <c r="A33" t="s">
        <v>76</v>
      </c>
      <c r="B33" s="1">
        <v>509</v>
      </c>
    </row>
    <row r="34" spans="1:2" x14ac:dyDescent="0.3">
      <c r="A34" t="s">
        <v>102</v>
      </c>
      <c r="B34" s="1">
        <v>525</v>
      </c>
    </row>
    <row r="35" spans="1:2" x14ac:dyDescent="0.3">
      <c r="A35" t="s">
        <v>7</v>
      </c>
      <c r="B35" s="1">
        <v>527</v>
      </c>
    </row>
    <row r="36" spans="1:2" x14ac:dyDescent="0.3">
      <c r="A36" t="s">
        <v>18</v>
      </c>
      <c r="B36" s="1">
        <v>552</v>
      </c>
    </row>
    <row r="37" spans="1:2" x14ac:dyDescent="0.3">
      <c r="A37" t="s">
        <v>48</v>
      </c>
      <c r="B37" s="1">
        <v>610</v>
      </c>
    </row>
    <row r="38" spans="1:2" x14ac:dyDescent="0.3">
      <c r="A38" t="s">
        <v>92</v>
      </c>
      <c r="B38" s="1">
        <v>630</v>
      </c>
    </row>
    <row r="39" spans="1:2" x14ac:dyDescent="0.3">
      <c r="A39" t="s">
        <v>62</v>
      </c>
      <c r="B39" s="1">
        <v>657</v>
      </c>
    </row>
    <row r="40" spans="1:2" x14ac:dyDescent="0.3">
      <c r="A40" t="s">
        <v>52</v>
      </c>
      <c r="B40" s="1">
        <v>671</v>
      </c>
    </row>
    <row r="41" spans="1:2" x14ac:dyDescent="0.3">
      <c r="A41" t="s">
        <v>80</v>
      </c>
      <c r="B41" s="1">
        <v>690</v>
      </c>
    </row>
    <row r="42" spans="1:2" x14ac:dyDescent="0.3">
      <c r="A42" t="s">
        <v>61</v>
      </c>
      <c r="B42" s="1">
        <v>699</v>
      </c>
    </row>
    <row r="43" spans="1:2" x14ac:dyDescent="0.3">
      <c r="A43" t="s">
        <v>79</v>
      </c>
      <c r="B43" s="1">
        <v>790</v>
      </c>
    </row>
    <row r="44" spans="1:2" x14ac:dyDescent="0.3">
      <c r="A44" t="s">
        <v>16</v>
      </c>
      <c r="B44" s="1">
        <v>799</v>
      </c>
    </row>
    <row r="45" spans="1:2" x14ac:dyDescent="0.3">
      <c r="A45" t="s">
        <v>59</v>
      </c>
      <c r="B45" s="1">
        <v>799</v>
      </c>
    </row>
    <row r="46" spans="1:2" x14ac:dyDescent="0.3">
      <c r="A46" t="s">
        <v>62</v>
      </c>
      <c r="B46" s="1">
        <v>799</v>
      </c>
    </row>
    <row r="47" spans="1:2" x14ac:dyDescent="0.3">
      <c r="A47" t="s">
        <v>90</v>
      </c>
      <c r="B47" s="1">
        <v>799</v>
      </c>
    </row>
    <row r="48" spans="1:2" x14ac:dyDescent="0.3">
      <c r="A48" t="s">
        <v>93</v>
      </c>
      <c r="B48" s="1">
        <v>850</v>
      </c>
    </row>
    <row r="49" spans="1:2" x14ac:dyDescent="0.3">
      <c r="A49" t="s">
        <v>28</v>
      </c>
      <c r="B49" s="1">
        <v>880</v>
      </c>
    </row>
    <row r="50" spans="1:2" x14ac:dyDescent="0.3">
      <c r="A50" t="s">
        <v>96</v>
      </c>
      <c r="B50" s="1">
        <v>899</v>
      </c>
    </row>
    <row r="51" spans="1:2" x14ac:dyDescent="0.3">
      <c r="A51" t="s">
        <v>6</v>
      </c>
      <c r="B51" s="1">
        <v>950</v>
      </c>
    </row>
    <row r="52" spans="1:2" x14ac:dyDescent="0.3">
      <c r="A52" t="s">
        <v>77</v>
      </c>
      <c r="B52" s="1">
        <v>968</v>
      </c>
    </row>
    <row r="53" spans="1:2" x14ac:dyDescent="0.3">
      <c r="A53" t="s">
        <v>84</v>
      </c>
      <c r="B53" s="1">
        <v>979</v>
      </c>
    </row>
    <row r="54" spans="1:2" x14ac:dyDescent="0.3">
      <c r="A54" t="s">
        <v>37</v>
      </c>
      <c r="B54" s="1">
        <v>980</v>
      </c>
    </row>
    <row r="55" spans="1:2" x14ac:dyDescent="0.3">
      <c r="A55" t="s">
        <v>13</v>
      </c>
      <c r="B55" s="1">
        <v>988</v>
      </c>
    </row>
    <row r="56" spans="1:2" x14ac:dyDescent="0.3">
      <c r="A56" t="s">
        <v>17</v>
      </c>
      <c r="B56" s="1">
        <v>990</v>
      </c>
    </row>
    <row r="57" spans="1:2" x14ac:dyDescent="0.3">
      <c r="A57" t="s">
        <v>70</v>
      </c>
      <c r="B57" s="1">
        <v>990</v>
      </c>
    </row>
    <row r="58" spans="1:2" x14ac:dyDescent="0.3">
      <c r="A58" t="s">
        <v>25</v>
      </c>
      <c r="B58" s="1">
        <v>998</v>
      </c>
    </row>
    <row r="59" spans="1:2" x14ac:dyDescent="0.3">
      <c r="A59" t="s">
        <v>50</v>
      </c>
      <c r="B59" s="1">
        <v>999</v>
      </c>
    </row>
    <row r="60" spans="1:2" x14ac:dyDescent="0.3">
      <c r="A60" t="s">
        <v>71</v>
      </c>
      <c r="B60" s="1">
        <v>1000</v>
      </c>
    </row>
    <row r="61" spans="1:2" x14ac:dyDescent="0.3">
      <c r="A61" t="s">
        <v>103</v>
      </c>
      <c r="B61" s="1">
        <v>1080</v>
      </c>
    </row>
    <row r="62" spans="1:2" x14ac:dyDescent="0.3">
      <c r="A62" t="s">
        <v>108</v>
      </c>
      <c r="B62" s="1">
        <v>1150</v>
      </c>
    </row>
    <row r="63" spans="1:2" x14ac:dyDescent="0.3">
      <c r="A63" t="s">
        <v>83</v>
      </c>
      <c r="B63" s="1">
        <v>1189</v>
      </c>
    </row>
    <row r="64" spans="1:2" x14ac:dyDescent="0.3">
      <c r="A64" t="s">
        <v>51</v>
      </c>
      <c r="B64" s="1">
        <v>1190</v>
      </c>
    </row>
    <row r="65" spans="1:2" x14ac:dyDescent="0.3">
      <c r="A65" t="s">
        <v>109</v>
      </c>
      <c r="B65" s="1">
        <v>1190</v>
      </c>
    </row>
    <row r="66" spans="1:2" x14ac:dyDescent="0.3">
      <c r="A66" t="s">
        <v>53</v>
      </c>
      <c r="B66" s="1">
        <v>1200</v>
      </c>
    </row>
    <row r="67" spans="1:2" x14ac:dyDescent="0.3">
      <c r="A67" t="s">
        <v>97</v>
      </c>
      <c r="B67" s="1">
        <v>1200</v>
      </c>
    </row>
    <row r="68" spans="1:2" x14ac:dyDescent="0.3">
      <c r="A68" t="s">
        <v>69</v>
      </c>
      <c r="B68" s="1">
        <v>1220</v>
      </c>
    </row>
    <row r="69" spans="1:2" x14ac:dyDescent="0.3">
      <c r="A69" t="s">
        <v>14</v>
      </c>
      <c r="B69" s="1">
        <v>1274</v>
      </c>
    </row>
    <row r="70" spans="1:2" x14ac:dyDescent="0.3">
      <c r="A70" t="s">
        <v>94</v>
      </c>
      <c r="B70" s="1">
        <v>1300</v>
      </c>
    </row>
    <row r="71" spans="1:2" x14ac:dyDescent="0.3">
      <c r="A71" t="s">
        <v>33</v>
      </c>
      <c r="B71" s="1">
        <v>1350</v>
      </c>
    </row>
    <row r="72" spans="1:2" x14ac:dyDescent="0.3">
      <c r="A72" t="s">
        <v>105</v>
      </c>
      <c r="B72" s="1">
        <v>1420</v>
      </c>
    </row>
    <row r="73" spans="1:2" x14ac:dyDescent="0.3">
      <c r="A73" t="s">
        <v>58</v>
      </c>
      <c r="B73" s="1">
        <v>1459</v>
      </c>
    </row>
    <row r="74" spans="1:2" x14ac:dyDescent="0.3">
      <c r="A74" t="s">
        <v>85</v>
      </c>
      <c r="B74" s="1">
        <v>1460</v>
      </c>
    </row>
    <row r="75" spans="1:2" x14ac:dyDescent="0.3">
      <c r="A75" t="s">
        <v>99</v>
      </c>
      <c r="B75" s="1">
        <v>1462</v>
      </c>
    </row>
    <row r="76" spans="1:2" x14ac:dyDescent="0.3">
      <c r="A76" t="s">
        <v>88</v>
      </c>
      <c r="B76" s="1">
        <v>1466</v>
      </c>
    </row>
    <row r="77" spans="1:2" x14ac:dyDescent="0.3">
      <c r="A77" t="s">
        <v>91</v>
      </c>
      <c r="B77" s="1">
        <v>1468</v>
      </c>
    </row>
    <row r="78" spans="1:2" x14ac:dyDescent="0.3">
      <c r="A78" t="s">
        <v>98</v>
      </c>
      <c r="B78" s="1">
        <v>1526</v>
      </c>
    </row>
    <row r="79" spans="1:2" x14ac:dyDescent="0.3">
      <c r="A79" t="s">
        <v>78</v>
      </c>
      <c r="B79" s="1">
        <v>1570</v>
      </c>
    </row>
    <row r="80" spans="1:2" x14ac:dyDescent="0.3">
      <c r="A80" t="s">
        <v>9</v>
      </c>
      <c r="B80" s="1">
        <v>1580</v>
      </c>
    </row>
    <row r="81" spans="1:2" x14ac:dyDescent="0.3">
      <c r="A81" t="s">
        <v>15</v>
      </c>
      <c r="B81" s="1">
        <v>1600</v>
      </c>
    </row>
    <row r="82" spans="1:2" x14ac:dyDescent="0.3">
      <c r="A82" t="s">
        <v>41</v>
      </c>
      <c r="B82" s="1">
        <v>1620</v>
      </c>
    </row>
    <row r="83" spans="1:2" x14ac:dyDescent="0.3">
      <c r="A83" t="s">
        <v>29</v>
      </c>
      <c r="B83" s="1">
        <v>1650</v>
      </c>
    </row>
    <row r="84" spans="1:2" x14ac:dyDescent="0.3">
      <c r="A84" t="s">
        <v>110</v>
      </c>
      <c r="B84" s="1">
        <v>1658</v>
      </c>
    </row>
    <row r="85" spans="1:2" x14ac:dyDescent="0.3">
      <c r="A85" t="s">
        <v>56</v>
      </c>
      <c r="B85" s="1">
        <v>1660</v>
      </c>
    </row>
    <row r="86" spans="1:2" x14ac:dyDescent="0.3">
      <c r="A86" t="s">
        <v>86</v>
      </c>
      <c r="B86" s="1">
        <v>1666</v>
      </c>
    </row>
    <row r="87" spans="1:2" x14ac:dyDescent="0.3">
      <c r="A87" t="s">
        <v>20</v>
      </c>
      <c r="B87" s="1">
        <v>1680</v>
      </c>
    </row>
    <row r="88" spans="1:2" x14ac:dyDescent="0.3">
      <c r="A88" t="s">
        <v>81</v>
      </c>
      <c r="B88" s="1">
        <v>1732</v>
      </c>
    </row>
    <row r="89" spans="1:2" x14ac:dyDescent="0.3">
      <c r="A89" t="s">
        <v>10</v>
      </c>
      <c r="B89" s="1">
        <v>1740</v>
      </c>
    </row>
    <row r="90" spans="1:2" x14ac:dyDescent="0.3">
      <c r="A90" t="s">
        <v>34</v>
      </c>
      <c r="B90" s="1">
        <v>1758</v>
      </c>
    </row>
    <row r="91" spans="1:2" x14ac:dyDescent="0.3">
      <c r="A91" t="s">
        <v>111</v>
      </c>
      <c r="B91" s="1">
        <v>1768</v>
      </c>
    </row>
    <row r="92" spans="1:2" x14ac:dyDescent="0.3">
      <c r="A92" t="s">
        <v>38</v>
      </c>
      <c r="B92" s="1">
        <v>1820</v>
      </c>
    </row>
    <row r="93" spans="1:2" x14ac:dyDescent="0.3">
      <c r="A93" t="s">
        <v>27</v>
      </c>
      <c r="B93" s="1">
        <v>1860</v>
      </c>
    </row>
    <row r="94" spans="1:2" x14ac:dyDescent="0.3">
      <c r="A94" t="s">
        <v>106</v>
      </c>
      <c r="B94" s="1">
        <v>1875</v>
      </c>
    </row>
    <row r="95" spans="1:2" x14ac:dyDescent="0.3">
      <c r="A95" t="s">
        <v>39</v>
      </c>
      <c r="B95" s="1">
        <v>1940</v>
      </c>
    </row>
    <row r="96" spans="1:2" x14ac:dyDescent="0.3">
      <c r="A96" t="s">
        <v>40</v>
      </c>
      <c r="B96" s="1">
        <v>1980</v>
      </c>
    </row>
    <row r="97" spans="1:2" x14ac:dyDescent="0.3">
      <c r="A97" t="s">
        <v>23</v>
      </c>
      <c r="B97" s="1">
        <v>2025</v>
      </c>
    </row>
    <row r="98" spans="1:2" x14ac:dyDescent="0.3">
      <c r="A98" t="s">
        <v>30</v>
      </c>
      <c r="B98" s="1">
        <v>2048</v>
      </c>
    </row>
    <row r="99" spans="1:2" x14ac:dyDescent="0.3">
      <c r="A99" t="s">
        <v>66</v>
      </c>
      <c r="B99" s="1">
        <v>2115</v>
      </c>
    </row>
    <row r="100" spans="1:2" x14ac:dyDescent="0.3">
      <c r="A100" t="s">
        <v>49</v>
      </c>
      <c r="B100" s="1">
        <v>2132</v>
      </c>
    </row>
    <row r="101" spans="1:2" x14ac:dyDescent="0.3">
      <c r="A101" t="s">
        <v>64</v>
      </c>
      <c r="B101" s="1">
        <v>2170</v>
      </c>
    </row>
    <row r="102" spans="1:2" x14ac:dyDescent="0.3">
      <c r="A102" t="s">
        <v>8</v>
      </c>
      <c r="B102" s="1">
        <v>2199</v>
      </c>
    </row>
    <row r="103" spans="1:2" x14ac:dyDescent="0.3">
      <c r="A103" t="s">
        <v>35</v>
      </c>
      <c r="B103" s="1">
        <v>2200</v>
      </c>
    </row>
    <row r="104" spans="1:2" x14ac:dyDescent="0.3">
      <c r="A104" t="s">
        <v>74</v>
      </c>
      <c r="B104" s="1">
        <v>2300</v>
      </c>
    </row>
    <row r="105" spans="1:2" x14ac:dyDescent="0.3">
      <c r="A105" t="s">
        <v>12</v>
      </c>
      <c r="B105" s="1">
        <v>2319</v>
      </c>
    </row>
    <row r="106" spans="1:2" x14ac:dyDescent="0.3">
      <c r="A106" t="s">
        <v>45</v>
      </c>
      <c r="B106" s="1">
        <v>2750</v>
      </c>
    </row>
    <row r="107" spans="1:2" x14ac:dyDescent="0.3">
      <c r="A107" t="s">
        <v>63</v>
      </c>
      <c r="B107" s="1">
        <v>2799</v>
      </c>
    </row>
    <row r="108" spans="1:2" x14ac:dyDescent="0.3">
      <c r="A108" t="s">
        <v>32</v>
      </c>
      <c r="B108" s="1">
        <v>2880</v>
      </c>
    </row>
    <row r="109" spans="1:2" x14ac:dyDescent="0.3">
      <c r="A109" t="s">
        <v>11</v>
      </c>
      <c r="B109" s="1">
        <v>2999</v>
      </c>
    </row>
    <row r="110" spans="1:2" x14ac:dyDescent="0.3">
      <c r="A110" t="s">
        <v>24</v>
      </c>
      <c r="B110" s="1">
        <v>2999</v>
      </c>
    </row>
    <row r="111" spans="1:2" x14ac:dyDescent="0.3">
      <c r="A111" t="s">
        <v>101</v>
      </c>
      <c r="B111" s="1">
        <v>3546</v>
      </c>
    </row>
    <row r="112" spans="1:2" x14ac:dyDescent="0.3">
      <c r="A112" t="s">
        <v>104</v>
      </c>
      <c r="B112" s="1">
        <v>3640</v>
      </c>
    </row>
    <row r="113" spans="1:2" x14ac:dyDescent="0.3">
      <c r="A113" t="s">
        <v>72</v>
      </c>
      <c r="B113" s="4">
        <v>3750</v>
      </c>
    </row>
    <row r="114" spans="1:2" x14ac:dyDescent="0.3">
      <c r="B114" s="1">
        <f>AVERAGE(B2:B113)</f>
        <v>1172.4285714285713</v>
      </c>
    </row>
  </sheetData>
  <autoFilter ref="A2:B113" xr:uid="{4BFACEF1-166D-43CC-BF1B-93132D1DB8D4}"/>
  <sortState xmlns:xlrd2="http://schemas.microsoft.com/office/spreadsheetml/2017/richdata2" ref="A2:B113">
    <sortCondition ref="B2:B113"/>
  </sortState>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867F2-BEA1-4026-9CEA-A5097F4A99DD}">
  <dimension ref="A1:X114"/>
  <sheetViews>
    <sheetView workbookViewId="0">
      <selection activeCell="E18" sqref="E17:X18"/>
    </sheetView>
  </sheetViews>
  <sheetFormatPr defaultRowHeight="14.4" x14ac:dyDescent="0.3"/>
  <cols>
    <col min="1" max="1" width="8.109375" bestFit="1" customWidth="1"/>
    <col min="2" max="2" width="6.88671875" bestFit="1" customWidth="1"/>
  </cols>
  <sheetData>
    <row r="1" spans="1:2" x14ac:dyDescent="0.3">
      <c r="A1" t="s">
        <v>3</v>
      </c>
      <c r="B1" t="s">
        <v>4</v>
      </c>
    </row>
    <row r="2" spans="1:2" x14ac:dyDescent="0.3">
      <c r="A2" s="2">
        <v>0.38</v>
      </c>
      <c r="B2">
        <v>-2</v>
      </c>
    </row>
    <row r="3" spans="1:2" x14ac:dyDescent="0.3">
      <c r="A3" s="2">
        <v>0.47</v>
      </c>
      <c r="B3">
        <v>-14</v>
      </c>
    </row>
    <row r="4" spans="1:2" x14ac:dyDescent="0.3">
      <c r="A4" s="2">
        <v>0.25</v>
      </c>
      <c r="B4">
        <v>-24</v>
      </c>
    </row>
    <row r="5" spans="1:2" x14ac:dyDescent="0.3">
      <c r="A5" s="2">
        <v>0.37</v>
      </c>
      <c r="B5">
        <v>-7</v>
      </c>
    </row>
    <row r="6" spans="1:2" x14ac:dyDescent="0.3">
      <c r="A6" s="2">
        <v>0.26</v>
      </c>
      <c r="B6">
        <v>-5</v>
      </c>
    </row>
    <row r="7" spans="1:2" x14ac:dyDescent="0.3">
      <c r="A7" s="2">
        <v>0.09</v>
      </c>
      <c r="B7">
        <v>-15</v>
      </c>
    </row>
    <row r="8" spans="1:2" x14ac:dyDescent="0.3">
      <c r="A8" s="2">
        <v>0.24</v>
      </c>
      <c r="B8">
        <v>-55</v>
      </c>
    </row>
    <row r="9" spans="1:2" x14ac:dyDescent="0.3">
      <c r="A9" s="2">
        <v>0.37</v>
      </c>
      <c r="B9">
        <v>-2</v>
      </c>
    </row>
    <row r="10" spans="1:2" x14ac:dyDescent="0.3">
      <c r="A10" s="2">
        <v>0.55000000000000004</v>
      </c>
      <c r="B10">
        <v>-5</v>
      </c>
    </row>
    <row r="11" spans="1:2" x14ac:dyDescent="0.3">
      <c r="A11" s="2">
        <v>0.45</v>
      </c>
      <c r="B11">
        <v>-5</v>
      </c>
    </row>
    <row r="12" spans="1:2" x14ac:dyDescent="0.3">
      <c r="A12" s="2">
        <v>0.2</v>
      </c>
      <c r="B12">
        <v>-12</v>
      </c>
    </row>
    <row r="13" spans="1:2" x14ac:dyDescent="0.3">
      <c r="A13" s="2">
        <v>0.34</v>
      </c>
      <c r="B13">
        <v>-39</v>
      </c>
    </row>
    <row r="14" spans="1:2" x14ac:dyDescent="0.3">
      <c r="A14" s="2">
        <v>0.47</v>
      </c>
      <c r="B14">
        <v>-12</v>
      </c>
    </row>
    <row r="15" spans="1:2" x14ac:dyDescent="0.3">
      <c r="A15" s="2">
        <v>0.42</v>
      </c>
      <c r="B15">
        <v>-6</v>
      </c>
    </row>
    <row r="16" spans="1:2" x14ac:dyDescent="0.3">
      <c r="A16" s="2">
        <v>0.33</v>
      </c>
      <c r="B16">
        <v>-9</v>
      </c>
    </row>
    <row r="17" spans="1:24" x14ac:dyDescent="0.3">
      <c r="A17" s="2">
        <v>0.51</v>
      </c>
      <c r="B17">
        <v>-2</v>
      </c>
      <c r="E17" s="13"/>
      <c r="F17" s="13"/>
      <c r="G17" s="13"/>
      <c r="H17" s="13"/>
      <c r="I17" s="13"/>
      <c r="J17" s="13"/>
      <c r="K17" s="13"/>
      <c r="L17" s="13"/>
      <c r="M17" s="13"/>
      <c r="N17" s="13"/>
      <c r="O17" s="13"/>
      <c r="P17" s="13"/>
      <c r="Q17" s="13"/>
      <c r="R17" s="13"/>
      <c r="S17" s="13"/>
      <c r="T17" s="13"/>
      <c r="U17" s="13"/>
      <c r="V17" s="13"/>
      <c r="W17" s="13"/>
      <c r="X17" s="13"/>
    </row>
    <row r="18" spans="1:24" ht="16.8" x14ac:dyDescent="0.4">
      <c r="A18" s="2">
        <v>0.46</v>
      </c>
      <c r="B18">
        <v>-2</v>
      </c>
      <c r="E18" s="14" t="s">
        <v>144</v>
      </c>
      <c r="F18" s="13"/>
      <c r="G18" s="13"/>
      <c r="H18" s="13"/>
      <c r="I18" s="13"/>
      <c r="J18" s="13"/>
      <c r="K18" s="13"/>
      <c r="L18" s="13"/>
      <c r="M18" s="13"/>
      <c r="N18" s="13"/>
      <c r="O18" s="13"/>
      <c r="P18" s="13"/>
      <c r="Q18" s="13"/>
      <c r="R18" s="13"/>
      <c r="S18" s="13"/>
      <c r="T18" s="13"/>
      <c r="U18" s="13"/>
      <c r="V18" s="13"/>
      <c r="W18" s="13"/>
      <c r="X18" s="13"/>
    </row>
    <row r="19" spans="1:24" x14ac:dyDescent="0.3">
      <c r="A19" s="2">
        <v>0.49</v>
      </c>
      <c r="B19">
        <v>-3</v>
      </c>
    </row>
    <row r="20" spans="1:24" x14ac:dyDescent="0.3">
      <c r="A20" s="2">
        <v>0.19</v>
      </c>
      <c r="B20">
        <v>-5</v>
      </c>
    </row>
    <row r="21" spans="1:24" x14ac:dyDescent="0.3">
      <c r="A21" s="2">
        <v>0.49</v>
      </c>
      <c r="B21">
        <v>-44</v>
      </c>
    </row>
    <row r="22" spans="1:24" x14ac:dyDescent="0.3">
      <c r="A22" s="2">
        <v>0.53</v>
      </c>
      <c r="B22">
        <v>-13</v>
      </c>
    </row>
    <row r="23" spans="1:24" x14ac:dyDescent="0.3">
      <c r="A23" s="2">
        <v>0.42</v>
      </c>
    </row>
    <row r="24" spans="1:24" x14ac:dyDescent="0.3">
      <c r="A24" s="2">
        <v>0.35</v>
      </c>
      <c r="B24">
        <v>-6</v>
      </c>
    </row>
    <row r="25" spans="1:24" x14ac:dyDescent="0.3">
      <c r="A25" s="2">
        <v>0.23</v>
      </c>
      <c r="B25">
        <v>-14</v>
      </c>
    </row>
    <row r="26" spans="1:24" x14ac:dyDescent="0.3">
      <c r="A26" s="2">
        <v>0.54</v>
      </c>
      <c r="B26">
        <v>-7</v>
      </c>
    </row>
    <row r="27" spans="1:24" x14ac:dyDescent="0.3">
      <c r="A27" s="2">
        <v>0.35</v>
      </c>
      <c r="B27">
        <v>-49</v>
      </c>
    </row>
    <row r="28" spans="1:24" x14ac:dyDescent="0.3">
      <c r="A28" s="2">
        <v>0.18</v>
      </c>
      <c r="B28">
        <v>-12</v>
      </c>
    </row>
    <row r="29" spans="1:24" x14ac:dyDescent="0.3">
      <c r="A29" s="2">
        <v>0.32</v>
      </c>
      <c r="B29">
        <v>-13</v>
      </c>
    </row>
    <row r="30" spans="1:24" x14ac:dyDescent="0.3">
      <c r="A30" s="2">
        <v>0.3</v>
      </c>
      <c r="B30">
        <v>-20</v>
      </c>
    </row>
    <row r="31" spans="1:24" x14ac:dyDescent="0.3">
      <c r="A31" s="2">
        <v>0.46</v>
      </c>
    </row>
    <row r="32" spans="1:24" x14ac:dyDescent="0.3">
      <c r="A32" s="2">
        <v>0.52</v>
      </c>
      <c r="B32">
        <v>-9</v>
      </c>
    </row>
    <row r="33" spans="1:2" x14ac:dyDescent="0.3">
      <c r="A33" s="2">
        <v>0.34</v>
      </c>
      <c r="B33">
        <v>-12</v>
      </c>
    </row>
    <row r="34" spans="1:2" x14ac:dyDescent="0.3">
      <c r="A34" s="2">
        <v>0.48</v>
      </c>
      <c r="B34">
        <v>-9</v>
      </c>
    </row>
    <row r="35" spans="1:2" x14ac:dyDescent="0.3">
      <c r="A35" s="2">
        <v>0.27</v>
      </c>
      <c r="B35">
        <v>-20</v>
      </c>
    </row>
    <row r="36" spans="1:2" x14ac:dyDescent="0.3">
      <c r="A36" s="2">
        <v>0.27</v>
      </c>
      <c r="B36">
        <v>-32</v>
      </c>
    </row>
    <row r="37" spans="1:2" x14ac:dyDescent="0.3">
      <c r="A37" s="2">
        <v>0.4</v>
      </c>
      <c r="B37">
        <v>-1</v>
      </c>
    </row>
    <row r="38" spans="1:2" x14ac:dyDescent="0.3">
      <c r="A38" s="2">
        <v>0.53</v>
      </c>
      <c r="B38">
        <v>-2</v>
      </c>
    </row>
    <row r="39" spans="1:2" x14ac:dyDescent="0.3">
      <c r="A39" s="2">
        <v>0.41</v>
      </c>
      <c r="B39">
        <v>-36</v>
      </c>
    </row>
    <row r="40" spans="1:2" x14ac:dyDescent="0.3">
      <c r="A40" s="2">
        <v>0.38</v>
      </c>
      <c r="B40">
        <v>-2</v>
      </c>
    </row>
    <row r="41" spans="1:2" x14ac:dyDescent="0.3">
      <c r="A41" s="2">
        <v>0.38</v>
      </c>
    </row>
    <row r="42" spans="1:2" x14ac:dyDescent="0.3">
      <c r="A42" s="2">
        <v>0.49</v>
      </c>
    </row>
    <row r="43" spans="1:2" x14ac:dyDescent="0.3">
      <c r="A43" s="2">
        <v>0.5</v>
      </c>
    </row>
    <row r="44" spans="1:2" x14ac:dyDescent="0.3">
      <c r="A44" s="2">
        <v>0.42</v>
      </c>
    </row>
    <row r="45" spans="1:2" x14ac:dyDescent="0.3">
      <c r="A45" s="2">
        <v>0.02</v>
      </c>
    </row>
    <row r="46" spans="1:2" x14ac:dyDescent="0.3">
      <c r="A46" s="2">
        <v>0.5</v>
      </c>
    </row>
    <row r="47" spans="1:2" x14ac:dyDescent="0.3">
      <c r="A47" s="2">
        <v>0.33</v>
      </c>
    </row>
    <row r="48" spans="1:2" x14ac:dyDescent="0.3">
      <c r="A48" s="2">
        <v>0.49</v>
      </c>
    </row>
    <row r="49" spans="1:2" x14ac:dyDescent="0.3">
      <c r="A49" s="2">
        <v>0.38</v>
      </c>
    </row>
    <row r="50" spans="1:2" x14ac:dyDescent="0.3">
      <c r="A50" s="2">
        <v>0.61</v>
      </c>
    </row>
    <row r="51" spans="1:2" x14ac:dyDescent="0.3">
      <c r="A51" s="2">
        <v>0.5</v>
      </c>
    </row>
    <row r="52" spans="1:2" x14ac:dyDescent="0.3">
      <c r="A52" s="2">
        <v>0.02</v>
      </c>
    </row>
    <row r="53" spans="1:2" x14ac:dyDescent="0.3">
      <c r="A53" s="2">
        <v>0.22</v>
      </c>
    </row>
    <row r="54" spans="1:2" x14ac:dyDescent="0.3">
      <c r="A54" s="2">
        <v>0.03</v>
      </c>
    </row>
    <row r="55" spans="1:2" x14ac:dyDescent="0.3">
      <c r="A55" s="2">
        <v>0.41</v>
      </c>
    </row>
    <row r="56" spans="1:2" x14ac:dyDescent="0.3">
      <c r="A56" s="2">
        <v>0.45</v>
      </c>
    </row>
    <row r="57" spans="1:2" x14ac:dyDescent="0.3">
      <c r="A57" s="2">
        <v>0.48</v>
      </c>
    </row>
    <row r="58" spans="1:2" x14ac:dyDescent="0.3">
      <c r="A58" s="2">
        <v>0.49</v>
      </c>
    </row>
    <row r="59" spans="1:2" x14ac:dyDescent="0.3">
      <c r="A59" s="2">
        <v>0.27</v>
      </c>
    </row>
    <row r="60" spans="1:2" x14ac:dyDescent="0.3">
      <c r="A60" s="2">
        <v>0.55000000000000004</v>
      </c>
    </row>
    <row r="61" spans="1:2" x14ac:dyDescent="0.3">
      <c r="A61" s="2">
        <v>0.13</v>
      </c>
      <c r="B61">
        <v>-6</v>
      </c>
    </row>
    <row r="62" spans="1:2" x14ac:dyDescent="0.3">
      <c r="A62" s="2">
        <v>0.54</v>
      </c>
      <c r="B62">
        <v>-10</v>
      </c>
    </row>
    <row r="63" spans="1:2" x14ac:dyDescent="0.3">
      <c r="A63" s="2">
        <v>0.55000000000000004</v>
      </c>
      <c r="B63">
        <v>-13</v>
      </c>
    </row>
    <row r="64" spans="1:2" x14ac:dyDescent="0.3">
      <c r="A64" s="2">
        <v>0.49</v>
      </c>
      <c r="B64">
        <v>-69</v>
      </c>
    </row>
    <row r="65" spans="1:2" x14ac:dyDescent="0.3">
      <c r="A65" s="2">
        <v>0.52</v>
      </c>
      <c r="B65">
        <v>-15</v>
      </c>
    </row>
    <row r="66" spans="1:2" x14ac:dyDescent="0.3">
      <c r="A66" s="2">
        <v>0.22</v>
      </c>
      <c r="B66">
        <v>-16</v>
      </c>
    </row>
    <row r="67" spans="1:2" x14ac:dyDescent="0.3">
      <c r="A67" s="2">
        <v>0.45</v>
      </c>
      <c r="B67">
        <v>-6</v>
      </c>
    </row>
    <row r="68" spans="1:2" x14ac:dyDescent="0.3">
      <c r="A68" s="2">
        <v>0.5</v>
      </c>
      <c r="B68">
        <v>-7</v>
      </c>
    </row>
    <row r="69" spans="1:2" x14ac:dyDescent="0.3">
      <c r="A69" s="2">
        <v>0.39</v>
      </c>
      <c r="B69">
        <v>-5</v>
      </c>
    </row>
    <row r="70" spans="1:2" x14ac:dyDescent="0.3">
      <c r="A70" s="2">
        <v>0.45</v>
      </c>
      <c r="B70">
        <v>-17</v>
      </c>
    </row>
    <row r="71" spans="1:2" x14ac:dyDescent="0.3">
      <c r="A71" s="2">
        <v>0.28999999999999998</v>
      </c>
      <c r="B71">
        <v>-5</v>
      </c>
    </row>
    <row r="72" spans="1:2" x14ac:dyDescent="0.3">
      <c r="A72" s="2">
        <v>0.43</v>
      </c>
      <c r="B72">
        <v>-6</v>
      </c>
    </row>
    <row r="73" spans="1:2" x14ac:dyDescent="0.3">
      <c r="A73" s="2">
        <v>0.43</v>
      </c>
      <c r="B73">
        <v>-5</v>
      </c>
    </row>
    <row r="74" spans="1:2" x14ac:dyDescent="0.3">
      <c r="A74" s="2">
        <v>0.47</v>
      </c>
      <c r="B74">
        <v>-6</v>
      </c>
    </row>
    <row r="75" spans="1:2" x14ac:dyDescent="0.3">
      <c r="A75" s="2">
        <v>0.47</v>
      </c>
      <c r="B75">
        <v>-7</v>
      </c>
    </row>
    <row r="76" spans="1:2" x14ac:dyDescent="0.3">
      <c r="A76" s="2">
        <v>0.47</v>
      </c>
    </row>
    <row r="77" spans="1:2" x14ac:dyDescent="0.3">
      <c r="A77" s="2">
        <v>0.43</v>
      </c>
    </row>
    <row r="78" spans="1:2" x14ac:dyDescent="0.3">
      <c r="A78" s="2">
        <v>0.04</v>
      </c>
    </row>
    <row r="79" spans="1:2" x14ac:dyDescent="0.3">
      <c r="A79" s="2">
        <v>0.49</v>
      </c>
    </row>
    <row r="80" spans="1:2" x14ac:dyDescent="0.3">
      <c r="A80" s="2">
        <v>0.46</v>
      </c>
      <c r="B80">
        <v>-1</v>
      </c>
    </row>
    <row r="81" spans="1:2" x14ac:dyDescent="0.3">
      <c r="A81" s="2">
        <v>0.49</v>
      </c>
      <c r="B81">
        <v>-1</v>
      </c>
    </row>
    <row r="82" spans="1:2" x14ac:dyDescent="0.3">
      <c r="A82" s="2">
        <v>0.36</v>
      </c>
    </row>
    <row r="83" spans="1:2" x14ac:dyDescent="0.3">
      <c r="A83" s="2">
        <v>0.02</v>
      </c>
    </row>
    <row r="84" spans="1:2" x14ac:dyDescent="0.3">
      <c r="A84" s="2">
        <v>0.49</v>
      </c>
      <c r="B84">
        <v>-1</v>
      </c>
    </row>
    <row r="85" spans="1:2" x14ac:dyDescent="0.3">
      <c r="A85" s="2">
        <v>0.49</v>
      </c>
    </row>
    <row r="86" spans="1:2" x14ac:dyDescent="0.3">
      <c r="A86" s="2">
        <v>0.14000000000000001</v>
      </c>
    </row>
    <row r="87" spans="1:2" x14ac:dyDescent="0.3">
      <c r="A87" s="2">
        <v>0.49</v>
      </c>
    </row>
    <row r="88" spans="1:2" x14ac:dyDescent="0.3">
      <c r="A88" s="2">
        <v>0.11</v>
      </c>
    </row>
    <row r="89" spans="1:2" x14ac:dyDescent="0.3">
      <c r="A89" s="2">
        <v>0.49</v>
      </c>
    </row>
    <row r="90" spans="1:2" x14ac:dyDescent="0.3">
      <c r="A90" s="2">
        <v>0.14000000000000001</v>
      </c>
    </row>
    <row r="91" spans="1:2" x14ac:dyDescent="0.3">
      <c r="A91" s="2">
        <v>0.43</v>
      </c>
    </row>
    <row r="92" spans="1:2" x14ac:dyDescent="0.3">
      <c r="A92" s="2">
        <v>0.5</v>
      </c>
    </row>
    <row r="93" spans="1:2" x14ac:dyDescent="0.3">
      <c r="A93" s="2">
        <v>0.48</v>
      </c>
    </row>
    <row r="94" spans="1:2" x14ac:dyDescent="0.3">
      <c r="A94" s="2">
        <v>0.48</v>
      </c>
    </row>
    <row r="95" spans="1:2" x14ac:dyDescent="0.3">
      <c r="A95" s="2">
        <v>0.47</v>
      </c>
    </row>
    <row r="96" spans="1:2" x14ac:dyDescent="0.3">
      <c r="A96" s="2">
        <v>0.5</v>
      </c>
    </row>
    <row r="97" spans="1:2" x14ac:dyDescent="0.3">
      <c r="A97" s="2">
        <v>0.08</v>
      </c>
    </row>
    <row r="98" spans="1:2" x14ac:dyDescent="0.3">
      <c r="A98" s="2">
        <v>0.02</v>
      </c>
    </row>
    <row r="99" spans="1:2" x14ac:dyDescent="0.3">
      <c r="A99" s="2">
        <v>0.49</v>
      </c>
    </row>
    <row r="100" spans="1:2" x14ac:dyDescent="0.3">
      <c r="A100" s="2">
        <v>0.04</v>
      </c>
    </row>
    <row r="101" spans="1:2" x14ac:dyDescent="0.3">
      <c r="A101" s="2">
        <v>0.49</v>
      </c>
    </row>
    <row r="102" spans="1:2" x14ac:dyDescent="0.3">
      <c r="A102" s="2">
        <v>0.42</v>
      </c>
    </row>
    <row r="103" spans="1:2" x14ac:dyDescent="0.3">
      <c r="A103" s="2">
        <v>0.21</v>
      </c>
      <c r="B103">
        <v>-1</v>
      </c>
    </row>
    <row r="104" spans="1:2" x14ac:dyDescent="0.3">
      <c r="A104" s="2">
        <v>0.41</v>
      </c>
    </row>
    <row r="105" spans="1:2" x14ac:dyDescent="0.3">
      <c r="A105" s="2">
        <v>0.01</v>
      </c>
    </row>
    <row r="106" spans="1:2" x14ac:dyDescent="0.3">
      <c r="A106" s="2">
        <v>0.24</v>
      </c>
    </row>
    <row r="107" spans="1:2" x14ac:dyDescent="0.3">
      <c r="A107" s="2">
        <v>0.34</v>
      </c>
    </row>
    <row r="108" spans="1:2" x14ac:dyDescent="0.3">
      <c r="A108" s="2">
        <v>0.34</v>
      </c>
    </row>
    <row r="109" spans="1:2" x14ac:dyDescent="0.3">
      <c r="A109" s="2">
        <v>0.02</v>
      </c>
    </row>
    <row r="110" spans="1:2" x14ac:dyDescent="0.3">
      <c r="A110" s="2">
        <v>0.02</v>
      </c>
    </row>
    <row r="111" spans="1:2" x14ac:dyDescent="0.3">
      <c r="A111" s="2">
        <v>0.64</v>
      </c>
    </row>
    <row r="112" spans="1:2" x14ac:dyDescent="0.3">
      <c r="A112" s="2">
        <v>0.5</v>
      </c>
      <c r="B112">
        <v>-1</v>
      </c>
    </row>
    <row r="113" spans="1:1" x14ac:dyDescent="0.3">
      <c r="A113" s="2">
        <v>0.47</v>
      </c>
    </row>
    <row r="114" spans="1:1" x14ac:dyDescent="0.3">
      <c r="A114" s="2">
        <f>AVERAGE(A2:A113)</f>
        <v>0.36776785714285715</v>
      </c>
    </row>
  </sheetData>
  <conditionalFormatting sqref="A1:A1048576">
    <cfRule type="top10" dxfId="4" priority="2" rank="10"/>
  </conditionalFormatting>
  <conditionalFormatting sqref="B1:B1048576">
    <cfRule type="top10" dxfId="3" priority="1" rank="10"/>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57C6-48A7-4A9A-A387-158A66D02DF8}">
  <dimension ref="A1:W114"/>
  <sheetViews>
    <sheetView workbookViewId="0">
      <selection activeCell="J29" sqref="J29"/>
    </sheetView>
  </sheetViews>
  <sheetFormatPr defaultRowHeight="14.4" x14ac:dyDescent="0.3"/>
  <cols>
    <col min="1" max="1" width="6.109375" style="1" bestFit="1" customWidth="1"/>
    <col min="2" max="2" width="6.88671875" bestFit="1" customWidth="1"/>
  </cols>
  <sheetData>
    <row r="1" spans="1:2" x14ac:dyDescent="0.3">
      <c r="A1" s="1" t="s">
        <v>5</v>
      </c>
      <c r="B1" t="s">
        <v>4</v>
      </c>
    </row>
    <row r="2" spans="1:2" x14ac:dyDescent="0.3">
      <c r="A2" s="1">
        <v>4.5</v>
      </c>
      <c r="B2">
        <v>-2</v>
      </c>
    </row>
    <row r="3" spans="1:2" x14ac:dyDescent="0.3">
      <c r="A3" s="1">
        <v>4.0999999999999996</v>
      </c>
      <c r="B3">
        <v>-14</v>
      </c>
    </row>
    <row r="4" spans="1:2" x14ac:dyDescent="0.3">
      <c r="A4" s="1">
        <v>4.5999999999999996</v>
      </c>
      <c r="B4">
        <v>-24</v>
      </c>
    </row>
    <row r="5" spans="1:2" x14ac:dyDescent="0.3">
      <c r="A5" s="1">
        <v>4.7</v>
      </c>
      <c r="B5">
        <v>-7</v>
      </c>
    </row>
    <row r="6" spans="1:2" x14ac:dyDescent="0.3">
      <c r="A6" s="1">
        <v>4.8</v>
      </c>
      <c r="B6">
        <v>-5</v>
      </c>
    </row>
    <row r="7" spans="1:2" x14ac:dyDescent="0.3">
      <c r="A7" s="1">
        <v>4</v>
      </c>
      <c r="B7">
        <v>-15</v>
      </c>
    </row>
    <row r="8" spans="1:2" x14ac:dyDescent="0.3">
      <c r="A8" s="1">
        <v>4.5999999999999996</v>
      </c>
      <c r="B8">
        <v>-55</v>
      </c>
    </row>
    <row r="9" spans="1:2" x14ac:dyDescent="0.3">
      <c r="A9" s="1">
        <v>4</v>
      </c>
      <c r="B9">
        <v>-2</v>
      </c>
    </row>
    <row r="10" spans="1:2" x14ac:dyDescent="0.3">
      <c r="A10" s="1">
        <v>4.8</v>
      </c>
      <c r="B10">
        <v>-5</v>
      </c>
    </row>
    <row r="11" spans="1:2" x14ac:dyDescent="0.3">
      <c r="A11" s="1">
        <v>3.8</v>
      </c>
      <c r="B11">
        <v>-5</v>
      </c>
    </row>
    <row r="12" spans="1:2" x14ac:dyDescent="0.3">
      <c r="A12" s="1">
        <v>4.0999999999999996</v>
      </c>
      <c r="B12">
        <v>-12</v>
      </c>
    </row>
    <row r="13" spans="1:2" x14ac:dyDescent="0.3">
      <c r="A13" s="1">
        <v>4.7</v>
      </c>
      <c r="B13">
        <v>-39</v>
      </c>
    </row>
    <row r="14" spans="1:2" x14ac:dyDescent="0.3">
      <c r="A14" s="1">
        <v>4.8</v>
      </c>
      <c r="B14">
        <v>-12</v>
      </c>
    </row>
    <row r="15" spans="1:2" x14ac:dyDescent="0.3">
      <c r="A15" s="1">
        <v>4.5</v>
      </c>
      <c r="B15">
        <v>-6</v>
      </c>
    </row>
    <row r="16" spans="1:2" x14ac:dyDescent="0.3">
      <c r="A16" s="1">
        <v>4.2</v>
      </c>
      <c r="B16">
        <v>-9</v>
      </c>
    </row>
    <row r="17" spans="1:23" x14ac:dyDescent="0.3">
      <c r="A17" s="1">
        <v>5</v>
      </c>
      <c r="B17">
        <v>-2</v>
      </c>
    </row>
    <row r="18" spans="1:23" x14ac:dyDescent="0.3">
      <c r="A18" s="1">
        <v>5</v>
      </c>
      <c r="B18">
        <v>-2</v>
      </c>
    </row>
    <row r="19" spans="1:23" x14ac:dyDescent="0.3">
      <c r="A19" s="1">
        <v>5</v>
      </c>
      <c r="B19">
        <v>-3</v>
      </c>
    </row>
    <row r="20" spans="1:23" x14ac:dyDescent="0.3">
      <c r="A20" s="1">
        <v>4.5999999999999996</v>
      </c>
      <c r="B20">
        <v>-5</v>
      </c>
    </row>
    <row r="21" spans="1:23" x14ac:dyDescent="0.3">
      <c r="A21" s="1">
        <v>4.5999999999999996</v>
      </c>
      <c r="B21">
        <v>-44</v>
      </c>
      <c r="E21" s="5" t="s">
        <v>118</v>
      </c>
      <c r="F21" s="6"/>
      <c r="G21" s="6"/>
      <c r="H21" s="6"/>
      <c r="I21" s="6"/>
      <c r="J21" s="6"/>
      <c r="K21" s="6"/>
      <c r="L21" s="6"/>
      <c r="M21" s="6"/>
      <c r="N21" s="6"/>
      <c r="O21" s="6"/>
      <c r="P21" s="6"/>
      <c r="Q21" s="6"/>
      <c r="R21" s="6"/>
      <c r="S21" s="6"/>
      <c r="T21" s="6"/>
      <c r="U21" s="6"/>
      <c r="V21" s="6"/>
      <c r="W21" s="6"/>
    </row>
    <row r="22" spans="1:23" x14ac:dyDescent="0.3">
      <c r="A22" s="1">
        <v>3.3</v>
      </c>
      <c r="B22">
        <v>-13</v>
      </c>
    </row>
    <row r="24" spans="1:23" x14ac:dyDescent="0.3">
      <c r="A24" s="1">
        <v>4</v>
      </c>
      <c r="B24">
        <v>-6</v>
      </c>
    </row>
    <row r="25" spans="1:23" x14ac:dyDescent="0.3">
      <c r="A25" s="1">
        <v>4.4000000000000004</v>
      </c>
      <c r="B25">
        <v>-14</v>
      </c>
    </row>
    <row r="26" spans="1:23" x14ac:dyDescent="0.3">
      <c r="A26" s="1">
        <v>4.3</v>
      </c>
      <c r="B26">
        <v>-7</v>
      </c>
    </row>
    <row r="27" spans="1:23" x14ac:dyDescent="0.3">
      <c r="A27" s="1">
        <v>4.5999999999999996</v>
      </c>
      <c r="B27">
        <v>-49</v>
      </c>
    </row>
    <row r="28" spans="1:23" x14ac:dyDescent="0.3">
      <c r="A28" s="1">
        <v>3.8</v>
      </c>
      <c r="B28">
        <v>-12</v>
      </c>
    </row>
    <row r="29" spans="1:23" x14ac:dyDescent="0.3">
      <c r="A29" s="1">
        <v>3.8</v>
      </c>
      <c r="B29">
        <v>-13</v>
      </c>
    </row>
    <row r="30" spans="1:23" x14ac:dyDescent="0.3">
      <c r="A30" s="1">
        <v>4.0999999999999996</v>
      </c>
      <c r="B30">
        <v>-20</v>
      </c>
    </row>
    <row r="32" spans="1:23" x14ac:dyDescent="0.3">
      <c r="A32" s="1">
        <v>4.3</v>
      </c>
      <c r="B32">
        <v>-9</v>
      </c>
    </row>
    <row r="33" spans="1:2" x14ac:dyDescent="0.3">
      <c r="A33" s="1">
        <v>4.7</v>
      </c>
      <c r="B33">
        <v>-12</v>
      </c>
    </row>
    <row r="34" spans="1:2" x14ac:dyDescent="0.3">
      <c r="A34" s="1">
        <v>4.3</v>
      </c>
      <c r="B34">
        <v>-9</v>
      </c>
    </row>
    <row r="35" spans="1:2" x14ac:dyDescent="0.3">
      <c r="A35" s="1">
        <v>4.7</v>
      </c>
      <c r="B35">
        <v>-20</v>
      </c>
    </row>
    <row r="36" spans="1:2" x14ac:dyDescent="0.3">
      <c r="A36" s="1">
        <v>4.5</v>
      </c>
      <c r="B36">
        <v>-32</v>
      </c>
    </row>
    <row r="37" spans="1:2" x14ac:dyDescent="0.3">
      <c r="A37" s="1">
        <v>5</v>
      </c>
      <c r="B37">
        <v>-1</v>
      </c>
    </row>
    <row r="38" spans="1:2" x14ac:dyDescent="0.3">
      <c r="A38" s="1">
        <v>5</v>
      </c>
      <c r="B38">
        <v>-2</v>
      </c>
    </row>
    <row r="39" spans="1:2" x14ac:dyDescent="0.3">
      <c r="A39" s="1">
        <v>4.3</v>
      </c>
      <c r="B39">
        <v>-36</v>
      </c>
    </row>
    <row r="40" spans="1:2" x14ac:dyDescent="0.3">
      <c r="A40" s="1">
        <v>4.5</v>
      </c>
      <c r="B40">
        <v>-2</v>
      </c>
    </row>
    <row r="61" spans="1:2" x14ac:dyDescent="0.3">
      <c r="A61" s="1">
        <v>2.5</v>
      </c>
      <c r="B61">
        <v>-6</v>
      </c>
    </row>
    <row r="62" spans="1:2" x14ac:dyDescent="0.3">
      <c r="A62" s="1">
        <v>3</v>
      </c>
      <c r="B62">
        <v>-10</v>
      </c>
    </row>
    <row r="63" spans="1:2" x14ac:dyDescent="0.3">
      <c r="A63" s="1">
        <v>2.1</v>
      </c>
      <c r="B63">
        <v>-13</v>
      </c>
    </row>
    <row r="64" spans="1:2" x14ac:dyDescent="0.3">
      <c r="A64" s="1">
        <v>2.8</v>
      </c>
      <c r="B64">
        <v>-69</v>
      </c>
    </row>
    <row r="65" spans="1:2" x14ac:dyDescent="0.3">
      <c r="A65" s="1">
        <v>2.7</v>
      </c>
      <c r="B65">
        <v>-15</v>
      </c>
    </row>
    <row r="66" spans="1:2" x14ac:dyDescent="0.3">
      <c r="A66" s="1">
        <v>2.9</v>
      </c>
      <c r="B66">
        <v>-16</v>
      </c>
    </row>
    <row r="67" spans="1:2" x14ac:dyDescent="0.3">
      <c r="A67" s="1">
        <v>2.2000000000000002</v>
      </c>
      <c r="B67">
        <v>-6</v>
      </c>
    </row>
    <row r="68" spans="1:2" x14ac:dyDescent="0.3">
      <c r="A68" s="1">
        <v>2.2999999999999998</v>
      </c>
      <c r="B68">
        <v>-7</v>
      </c>
    </row>
    <row r="69" spans="1:2" x14ac:dyDescent="0.3">
      <c r="A69" s="1">
        <v>3</v>
      </c>
      <c r="B69">
        <v>-5</v>
      </c>
    </row>
    <row r="70" spans="1:2" x14ac:dyDescent="0.3">
      <c r="A70" s="1">
        <v>2.6</v>
      </c>
      <c r="B70">
        <v>-17</v>
      </c>
    </row>
    <row r="71" spans="1:2" x14ac:dyDescent="0.3">
      <c r="A71" s="1">
        <v>3</v>
      </c>
      <c r="B71">
        <v>-5</v>
      </c>
    </row>
    <row r="72" spans="1:2" x14ac:dyDescent="0.3">
      <c r="A72" s="1">
        <v>2.2999999999999998</v>
      </c>
      <c r="B72">
        <v>-6</v>
      </c>
    </row>
    <row r="73" spans="1:2" x14ac:dyDescent="0.3">
      <c r="A73" s="1">
        <v>3</v>
      </c>
      <c r="B73">
        <v>-5</v>
      </c>
    </row>
    <row r="74" spans="1:2" x14ac:dyDescent="0.3">
      <c r="A74" s="1">
        <v>2.2000000000000002</v>
      </c>
      <c r="B74">
        <v>-6</v>
      </c>
    </row>
    <row r="75" spans="1:2" x14ac:dyDescent="0.3">
      <c r="A75" s="1">
        <v>2.1</v>
      </c>
      <c r="B75">
        <v>-7</v>
      </c>
    </row>
    <row r="80" spans="1:2" x14ac:dyDescent="0.3">
      <c r="A80" s="1">
        <v>3</v>
      </c>
      <c r="B80">
        <v>-1</v>
      </c>
    </row>
    <row r="81" spans="1:2" x14ac:dyDescent="0.3">
      <c r="A81" s="1">
        <v>5</v>
      </c>
      <c r="B81">
        <v>-1</v>
      </c>
    </row>
    <row r="84" spans="1:2" x14ac:dyDescent="0.3">
      <c r="A84" s="1">
        <v>4</v>
      </c>
      <c r="B84">
        <v>-1</v>
      </c>
    </row>
    <row r="103" spans="1:2" x14ac:dyDescent="0.3">
      <c r="A103" s="1">
        <v>5</v>
      </c>
      <c r="B103">
        <v>-1</v>
      </c>
    </row>
    <row r="112" spans="1:2" x14ac:dyDescent="0.3">
      <c r="A112" s="1">
        <v>2</v>
      </c>
      <c r="B112">
        <v>-1</v>
      </c>
    </row>
    <row r="114" spans="1:1" x14ac:dyDescent="0.3">
      <c r="A114" s="1">
        <f>AVERAGE(A2:A113)</f>
        <v>3.8894736842105258</v>
      </c>
    </row>
  </sheetData>
  <conditionalFormatting sqref="A1:A1048576">
    <cfRule type="top10" dxfId="2" priority="1" bottom="1" rank="5"/>
    <cfRule type="top10" dxfId="1" priority="2" bottom="1" rank="5"/>
    <cfRule type="top10" dxfId="0" priority="3" rank="5"/>
  </conditionalFormatting>
  <hyperlinks>
    <hyperlink ref="E21" r:id="rId1" location="sql:1" display="https://app.findanomaly.ai/project/21ca24ff-c43d-4fe5-bb50-3b8f6ddfe6b2/analysis/ec08226d-7332-4a74-a25d-31a3baceaca8 - sql:1" xr:uid="{75D1ADBE-D85F-4E7F-B2FF-B790357999EA}"/>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649DD-D0B9-4DF7-B709-7F13584DD748}">
  <dimension ref="A1:C114"/>
  <sheetViews>
    <sheetView workbookViewId="0">
      <selection activeCell="L21" sqref="L21"/>
    </sheetView>
  </sheetViews>
  <sheetFormatPr defaultRowHeight="14.4" x14ac:dyDescent="0.3"/>
  <cols>
    <col min="1" max="1" width="87.88671875" bestFit="1" customWidth="1"/>
    <col min="2" max="2" width="6.109375" style="1" bestFit="1" customWidth="1"/>
    <col min="3" max="3" width="13.88671875" customWidth="1"/>
  </cols>
  <sheetData>
    <row r="1" spans="1:3" x14ac:dyDescent="0.3">
      <c r="A1" t="s">
        <v>0</v>
      </c>
      <c r="B1" s="1" t="s">
        <v>5</v>
      </c>
      <c r="C1" t="s">
        <v>116</v>
      </c>
    </row>
    <row r="2" spans="1:3" x14ac:dyDescent="0.3">
      <c r="A2" t="s">
        <v>21</v>
      </c>
      <c r="B2" s="1">
        <v>5</v>
      </c>
      <c r="C2" t="str">
        <f t="shared" ref="C2:C33" si="0">IF(B2&lt;3, "Poor", IF(B2&lt;=4, "Average", "Excellent"))</f>
        <v>Excellent</v>
      </c>
    </row>
    <row r="3" spans="1:3" x14ac:dyDescent="0.3">
      <c r="A3" t="s">
        <v>22</v>
      </c>
      <c r="B3" s="1">
        <v>5</v>
      </c>
      <c r="C3" t="str">
        <f t="shared" si="0"/>
        <v>Excellent</v>
      </c>
    </row>
    <row r="4" spans="1:3" x14ac:dyDescent="0.3">
      <c r="A4" t="s">
        <v>23</v>
      </c>
      <c r="B4" s="1">
        <v>5</v>
      </c>
      <c r="C4" t="str">
        <f t="shared" si="0"/>
        <v>Excellent</v>
      </c>
    </row>
    <row r="5" spans="1:3" x14ac:dyDescent="0.3">
      <c r="A5" t="s">
        <v>41</v>
      </c>
      <c r="B5" s="1">
        <v>5</v>
      </c>
      <c r="C5" t="str">
        <f t="shared" si="0"/>
        <v>Excellent</v>
      </c>
    </row>
    <row r="6" spans="1:3" x14ac:dyDescent="0.3">
      <c r="A6" t="s">
        <v>42</v>
      </c>
      <c r="B6" s="1">
        <v>5</v>
      </c>
      <c r="C6" t="str">
        <f t="shared" si="0"/>
        <v>Excellent</v>
      </c>
    </row>
    <row r="7" spans="1:3" x14ac:dyDescent="0.3">
      <c r="A7" t="s">
        <v>84</v>
      </c>
      <c r="B7" s="1">
        <v>5</v>
      </c>
      <c r="C7" t="str">
        <f t="shared" si="0"/>
        <v>Excellent</v>
      </c>
    </row>
    <row r="8" spans="1:3" x14ac:dyDescent="0.3">
      <c r="A8" t="s">
        <v>104</v>
      </c>
      <c r="B8" s="1">
        <v>5</v>
      </c>
      <c r="C8" t="str">
        <f t="shared" si="0"/>
        <v>Excellent</v>
      </c>
    </row>
    <row r="9" spans="1:3" x14ac:dyDescent="0.3">
      <c r="A9" t="s">
        <v>10</v>
      </c>
      <c r="B9" s="1">
        <v>4.8</v>
      </c>
      <c r="C9" t="str">
        <f t="shared" si="0"/>
        <v>Excellent</v>
      </c>
    </row>
    <row r="10" spans="1:3" x14ac:dyDescent="0.3">
      <c r="A10" t="s">
        <v>14</v>
      </c>
      <c r="B10" s="1">
        <v>4.8</v>
      </c>
      <c r="C10" t="str">
        <f t="shared" si="0"/>
        <v>Excellent</v>
      </c>
    </row>
    <row r="11" spans="1:3" x14ac:dyDescent="0.3">
      <c r="A11" t="s">
        <v>18</v>
      </c>
      <c r="B11" s="1">
        <v>4.8</v>
      </c>
      <c r="C11" t="str">
        <f t="shared" si="0"/>
        <v>Excellent</v>
      </c>
    </row>
    <row r="12" spans="1:3" x14ac:dyDescent="0.3">
      <c r="A12" t="s">
        <v>9</v>
      </c>
      <c r="B12" s="1">
        <v>4.7</v>
      </c>
      <c r="C12" t="str">
        <f t="shared" si="0"/>
        <v>Excellent</v>
      </c>
    </row>
    <row r="13" spans="1:3" x14ac:dyDescent="0.3">
      <c r="A13" t="s">
        <v>17</v>
      </c>
      <c r="B13" s="1">
        <v>4.7</v>
      </c>
      <c r="C13" t="str">
        <f t="shared" si="0"/>
        <v>Excellent</v>
      </c>
    </row>
    <row r="14" spans="1:3" x14ac:dyDescent="0.3">
      <c r="A14" t="s">
        <v>37</v>
      </c>
      <c r="B14" s="1">
        <v>4.7</v>
      </c>
      <c r="C14" t="str">
        <f t="shared" si="0"/>
        <v>Excellent</v>
      </c>
    </row>
    <row r="15" spans="1:3" x14ac:dyDescent="0.3">
      <c r="A15" t="s">
        <v>39</v>
      </c>
      <c r="B15" s="1">
        <v>4.7</v>
      </c>
      <c r="C15" t="str">
        <f t="shared" si="0"/>
        <v>Excellent</v>
      </c>
    </row>
    <row r="16" spans="1:3" x14ac:dyDescent="0.3">
      <c r="A16" t="s">
        <v>8</v>
      </c>
      <c r="B16" s="1">
        <v>4.5999999999999996</v>
      </c>
      <c r="C16" t="str">
        <f t="shared" si="0"/>
        <v>Excellent</v>
      </c>
    </row>
    <row r="17" spans="1:3" x14ac:dyDescent="0.3">
      <c r="A17" t="s">
        <v>12</v>
      </c>
      <c r="B17" s="1">
        <v>4.5999999999999996</v>
      </c>
      <c r="C17" t="str">
        <f t="shared" si="0"/>
        <v>Excellent</v>
      </c>
    </row>
    <row r="18" spans="1:3" x14ac:dyDescent="0.3">
      <c r="A18" t="s">
        <v>24</v>
      </c>
      <c r="B18" s="1">
        <v>4.5999999999999996</v>
      </c>
      <c r="C18" t="str">
        <f t="shared" si="0"/>
        <v>Excellent</v>
      </c>
    </row>
    <row r="19" spans="1:3" x14ac:dyDescent="0.3">
      <c r="A19" t="s">
        <v>25</v>
      </c>
      <c r="B19" s="1">
        <v>4.5999999999999996</v>
      </c>
      <c r="C19" t="str">
        <f t="shared" si="0"/>
        <v>Excellent</v>
      </c>
    </row>
    <row r="20" spans="1:3" x14ac:dyDescent="0.3">
      <c r="A20" t="s">
        <v>31</v>
      </c>
      <c r="B20" s="1">
        <v>4.5999999999999996</v>
      </c>
      <c r="C20" t="str">
        <f t="shared" si="0"/>
        <v>Excellent</v>
      </c>
    </row>
    <row r="21" spans="1:3" x14ac:dyDescent="0.3">
      <c r="A21" t="s">
        <v>6</v>
      </c>
      <c r="B21" s="1">
        <v>4.5</v>
      </c>
      <c r="C21" t="str">
        <f t="shared" si="0"/>
        <v>Excellent</v>
      </c>
    </row>
    <row r="22" spans="1:3" x14ac:dyDescent="0.3">
      <c r="A22" t="s">
        <v>19</v>
      </c>
      <c r="B22" s="1">
        <v>4.5</v>
      </c>
      <c r="C22" t="str">
        <f t="shared" si="0"/>
        <v>Excellent</v>
      </c>
    </row>
    <row r="23" spans="1:3" x14ac:dyDescent="0.3">
      <c r="A23" t="s">
        <v>40</v>
      </c>
      <c r="B23" s="1">
        <v>4.5</v>
      </c>
      <c r="C23" t="str">
        <f t="shared" si="0"/>
        <v>Excellent</v>
      </c>
    </row>
    <row r="24" spans="1:3" x14ac:dyDescent="0.3">
      <c r="A24" t="s">
        <v>44</v>
      </c>
      <c r="B24" s="1">
        <v>4.5</v>
      </c>
      <c r="C24" t="str">
        <f t="shared" si="0"/>
        <v>Excellent</v>
      </c>
    </row>
    <row r="25" spans="1:3" x14ac:dyDescent="0.3">
      <c r="A25" t="s">
        <v>29</v>
      </c>
      <c r="B25" s="1">
        <v>4.4000000000000004</v>
      </c>
      <c r="C25" t="str">
        <f t="shared" si="0"/>
        <v>Excellent</v>
      </c>
    </row>
    <row r="26" spans="1:3" x14ac:dyDescent="0.3">
      <c r="A26" t="s">
        <v>30</v>
      </c>
      <c r="B26" s="1">
        <v>4.3</v>
      </c>
      <c r="C26" t="str">
        <f t="shared" si="0"/>
        <v>Excellent</v>
      </c>
    </row>
    <row r="27" spans="1:3" x14ac:dyDescent="0.3">
      <c r="A27" t="s">
        <v>36</v>
      </c>
      <c r="B27" s="1">
        <v>4.3</v>
      </c>
      <c r="C27" t="str">
        <f t="shared" si="0"/>
        <v>Excellent</v>
      </c>
    </row>
    <row r="28" spans="1:3" x14ac:dyDescent="0.3">
      <c r="A28" t="s">
        <v>38</v>
      </c>
      <c r="B28" s="1">
        <v>4.3</v>
      </c>
      <c r="C28" t="str">
        <f t="shared" si="0"/>
        <v>Excellent</v>
      </c>
    </row>
    <row r="29" spans="1:3" x14ac:dyDescent="0.3">
      <c r="A29" t="s">
        <v>43</v>
      </c>
      <c r="B29" s="1">
        <v>4.3</v>
      </c>
      <c r="C29" t="str">
        <f t="shared" si="0"/>
        <v>Excellent</v>
      </c>
    </row>
    <row r="30" spans="1:3" x14ac:dyDescent="0.3">
      <c r="A30" t="s">
        <v>20</v>
      </c>
      <c r="B30" s="1">
        <v>4.2</v>
      </c>
      <c r="C30" t="str">
        <f t="shared" si="0"/>
        <v>Excellent</v>
      </c>
    </row>
    <row r="31" spans="1:3" x14ac:dyDescent="0.3">
      <c r="A31" t="s">
        <v>7</v>
      </c>
      <c r="B31" s="1">
        <v>4.0999999999999996</v>
      </c>
      <c r="C31" t="str">
        <f t="shared" si="0"/>
        <v>Excellent</v>
      </c>
    </row>
    <row r="32" spans="1:3" x14ac:dyDescent="0.3">
      <c r="A32" t="s">
        <v>16</v>
      </c>
      <c r="B32" s="1">
        <v>4.0999999999999996</v>
      </c>
      <c r="C32" t="str">
        <f t="shared" si="0"/>
        <v>Excellent</v>
      </c>
    </row>
    <row r="33" spans="1:3" x14ac:dyDescent="0.3">
      <c r="A33" t="s">
        <v>34</v>
      </c>
      <c r="B33" s="1">
        <v>4.0999999999999996</v>
      </c>
      <c r="C33" t="str">
        <f t="shared" si="0"/>
        <v>Excellent</v>
      </c>
    </row>
    <row r="34" spans="1:3" x14ac:dyDescent="0.3">
      <c r="A34" t="s">
        <v>11</v>
      </c>
      <c r="B34" s="1">
        <v>4</v>
      </c>
      <c r="C34" t="str">
        <f t="shared" ref="C34:C65" si="1">IF(B34&lt;3, "Poor", IF(B34&lt;=4, "Average", "Excellent"))</f>
        <v>Average</v>
      </c>
    </row>
    <row r="35" spans="1:3" x14ac:dyDescent="0.3">
      <c r="A35" t="s">
        <v>13</v>
      </c>
      <c r="B35" s="1">
        <v>4</v>
      </c>
      <c r="C35" t="str">
        <f t="shared" si="1"/>
        <v>Average</v>
      </c>
    </row>
    <row r="36" spans="1:3" x14ac:dyDescent="0.3">
      <c r="A36" t="s">
        <v>28</v>
      </c>
      <c r="B36" s="1">
        <v>4</v>
      </c>
      <c r="C36" t="str">
        <f t="shared" si="1"/>
        <v>Average</v>
      </c>
    </row>
    <row r="37" spans="1:3" x14ac:dyDescent="0.3">
      <c r="A37" t="s">
        <v>87</v>
      </c>
      <c r="B37" s="1">
        <v>4</v>
      </c>
      <c r="C37" t="str">
        <f t="shared" si="1"/>
        <v>Average</v>
      </c>
    </row>
    <row r="38" spans="1:3" x14ac:dyDescent="0.3">
      <c r="A38" t="s">
        <v>15</v>
      </c>
      <c r="B38" s="1">
        <v>3.8</v>
      </c>
      <c r="C38" t="str">
        <f t="shared" si="1"/>
        <v>Average</v>
      </c>
    </row>
    <row r="39" spans="1:3" x14ac:dyDescent="0.3">
      <c r="A39" t="s">
        <v>32</v>
      </c>
      <c r="B39" s="1">
        <v>3.8</v>
      </c>
      <c r="C39" t="str">
        <f t="shared" si="1"/>
        <v>Average</v>
      </c>
    </row>
    <row r="40" spans="1:3" x14ac:dyDescent="0.3">
      <c r="A40" t="s">
        <v>33</v>
      </c>
      <c r="B40" s="1">
        <v>3.8</v>
      </c>
      <c r="C40" t="str">
        <f t="shared" si="1"/>
        <v>Average</v>
      </c>
    </row>
    <row r="41" spans="1:3" x14ac:dyDescent="0.3">
      <c r="A41" t="s">
        <v>26</v>
      </c>
      <c r="B41" s="1">
        <v>3.3</v>
      </c>
      <c r="C41" t="str">
        <f t="shared" si="1"/>
        <v>Average</v>
      </c>
    </row>
    <row r="42" spans="1:3" x14ac:dyDescent="0.3">
      <c r="A42" t="s">
        <v>65</v>
      </c>
      <c r="B42" s="1">
        <v>3</v>
      </c>
      <c r="C42" t="str">
        <f t="shared" si="1"/>
        <v>Average</v>
      </c>
    </row>
    <row r="43" spans="1:3" x14ac:dyDescent="0.3">
      <c r="A43" t="s">
        <v>72</v>
      </c>
      <c r="B43" s="1">
        <v>3</v>
      </c>
      <c r="C43" t="str">
        <f t="shared" si="1"/>
        <v>Average</v>
      </c>
    </row>
    <row r="44" spans="1:3" x14ac:dyDescent="0.3">
      <c r="A44" t="s">
        <v>74</v>
      </c>
      <c r="B44" s="1">
        <v>3</v>
      </c>
      <c r="C44" t="str">
        <f t="shared" si="1"/>
        <v>Average</v>
      </c>
    </row>
    <row r="45" spans="1:3" x14ac:dyDescent="0.3">
      <c r="A45" t="s">
        <v>76</v>
      </c>
      <c r="B45" s="1">
        <v>3</v>
      </c>
      <c r="C45" t="str">
        <f t="shared" si="1"/>
        <v>Average</v>
      </c>
    </row>
    <row r="46" spans="1:3" x14ac:dyDescent="0.3">
      <c r="A46" t="s">
        <v>83</v>
      </c>
      <c r="B46" s="1">
        <v>3</v>
      </c>
      <c r="C46" t="str">
        <f t="shared" si="1"/>
        <v>Average</v>
      </c>
    </row>
    <row r="47" spans="1:3" x14ac:dyDescent="0.3">
      <c r="A47" t="s">
        <v>69</v>
      </c>
      <c r="B47" s="1">
        <v>2.9</v>
      </c>
      <c r="C47" t="str">
        <f t="shared" si="1"/>
        <v>Poor</v>
      </c>
    </row>
    <row r="48" spans="1:3" x14ac:dyDescent="0.3">
      <c r="A48" t="s">
        <v>67</v>
      </c>
      <c r="B48" s="1">
        <v>2.8</v>
      </c>
      <c r="C48" t="str">
        <f t="shared" si="1"/>
        <v>Poor</v>
      </c>
    </row>
    <row r="49" spans="1:3" x14ac:dyDescent="0.3">
      <c r="A49" t="s">
        <v>68</v>
      </c>
      <c r="B49" s="1">
        <v>2.7</v>
      </c>
      <c r="C49" t="str">
        <f t="shared" si="1"/>
        <v>Poor</v>
      </c>
    </row>
    <row r="50" spans="1:3" x14ac:dyDescent="0.3">
      <c r="A50" t="s">
        <v>73</v>
      </c>
      <c r="B50" s="1">
        <v>2.6</v>
      </c>
      <c r="C50" t="str">
        <f t="shared" si="1"/>
        <v>Poor</v>
      </c>
    </row>
    <row r="51" spans="1:3" x14ac:dyDescent="0.3">
      <c r="A51" t="s">
        <v>64</v>
      </c>
      <c r="B51" s="1">
        <v>2.5</v>
      </c>
      <c r="C51" t="str">
        <f t="shared" si="1"/>
        <v>Poor</v>
      </c>
    </row>
    <row r="52" spans="1:3" x14ac:dyDescent="0.3">
      <c r="A52" t="s">
        <v>71</v>
      </c>
      <c r="B52" s="1">
        <v>2.2999999999999998</v>
      </c>
      <c r="C52" t="str">
        <f t="shared" si="1"/>
        <v>Poor</v>
      </c>
    </row>
    <row r="53" spans="1:3" x14ac:dyDescent="0.3">
      <c r="A53" t="s">
        <v>75</v>
      </c>
      <c r="B53" s="1">
        <v>2.2999999999999998</v>
      </c>
      <c r="C53" t="str">
        <f t="shared" si="1"/>
        <v>Poor</v>
      </c>
    </row>
    <row r="54" spans="1:3" x14ac:dyDescent="0.3">
      <c r="A54" t="s">
        <v>70</v>
      </c>
      <c r="B54" s="1">
        <v>2.2000000000000002</v>
      </c>
      <c r="C54" t="str">
        <f t="shared" si="1"/>
        <v>Poor</v>
      </c>
    </row>
    <row r="55" spans="1:3" x14ac:dyDescent="0.3">
      <c r="A55" t="s">
        <v>77</v>
      </c>
      <c r="B55" s="1">
        <v>2.2000000000000002</v>
      </c>
      <c r="C55" t="str">
        <f t="shared" si="1"/>
        <v>Poor</v>
      </c>
    </row>
    <row r="56" spans="1:3" x14ac:dyDescent="0.3">
      <c r="A56" t="s">
        <v>66</v>
      </c>
      <c r="B56" s="1">
        <v>2.1</v>
      </c>
      <c r="C56" t="str">
        <f t="shared" si="1"/>
        <v>Poor</v>
      </c>
    </row>
    <row r="57" spans="1:3" x14ac:dyDescent="0.3">
      <c r="A57" t="s">
        <v>78</v>
      </c>
      <c r="B57" s="1">
        <v>2.1</v>
      </c>
      <c r="C57" t="str">
        <f t="shared" si="1"/>
        <v>Poor</v>
      </c>
    </row>
    <row r="58" spans="1:3" x14ac:dyDescent="0.3">
      <c r="A58" t="s">
        <v>113</v>
      </c>
      <c r="B58" s="1">
        <v>2</v>
      </c>
      <c r="C58" t="str">
        <f t="shared" si="1"/>
        <v>Poor</v>
      </c>
    </row>
    <row r="59" spans="1:3" x14ac:dyDescent="0.3">
      <c r="A59" t="s">
        <v>27</v>
      </c>
      <c r="C59" t="str">
        <f t="shared" si="1"/>
        <v>Poor</v>
      </c>
    </row>
    <row r="60" spans="1:3" x14ac:dyDescent="0.3">
      <c r="A60" t="s">
        <v>35</v>
      </c>
      <c r="C60" t="str">
        <f t="shared" si="1"/>
        <v>Poor</v>
      </c>
    </row>
    <row r="61" spans="1:3" x14ac:dyDescent="0.3">
      <c r="A61" t="s">
        <v>45</v>
      </c>
      <c r="C61" t="str">
        <f t="shared" si="1"/>
        <v>Poor</v>
      </c>
    </row>
    <row r="62" spans="1:3" x14ac:dyDescent="0.3">
      <c r="A62" t="s">
        <v>46</v>
      </c>
      <c r="C62" t="str">
        <f t="shared" si="1"/>
        <v>Poor</v>
      </c>
    </row>
    <row r="63" spans="1:3" x14ac:dyDescent="0.3">
      <c r="A63" t="s">
        <v>47</v>
      </c>
      <c r="C63" t="str">
        <f t="shared" si="1"/>
        <v>Poor</v>
      </c>
    </row>
    <row r="64" spans="1:3" x14ac:dyDescent="0.3">
      <c r="A64" t="s">
        <v>48</v>
      </c>
      <c r="C64" t="str">
        <f t="shared" si="1"/>
        <v>Poor</v>
      </c>
    </row>
    <row r="65" spans="1:3" x14ac:dyDescent="0.3">
      <c r="A65" t="s">
        <v>49</v>
      </c>
      <c r="C65" t="str">
        <f t="shared" si="1"/>
        <v>Poor</v>
      </c>
    </row>
    <row r="66" spans="1:3" x14ac:dyDescent="0.3">
      <c r="A66" t="s">
        <v>50</v>
      </c>
      <c r="C66" t="str">
        <f t="shared" ref="C66:C97" si="2">IF(B66&lt;3, "Poor", IF(B66&lt;=4, "Average", "Excellent"))</f>
        <v>Poor</v>
      </c>
    </row>
    <row r="67" spans="1:3" x14ac:dyDescent="0.3">
      <c r="A67" t="s">
        <v>51</v>
      </c>
      <c r="C67" t="str">
        <f t="shared" si="2"/>
        <v>Poor</v>
      </c>
    </row>
    <row r="68" spans="1:3" x14ac:dyDescent="0.3">
      <c r="A68" t="s">
        <v>52</v>
      </c>
      <c r="C68" t="str">
        <f t="shared" si="2"/>
        <v>Poor</v>
      </c>
    </row>
    <row r="69" spans="1:3" x14ac:dyDescent="0.3">
      <c r="A69" t="s">
        <v>53</v>
      </c>
      <c r="C69" t="str">
        <f t="shared" si="2"/>
        <v>Poor</v>
      </c>
    </row>
    <row r="70" spans="1:3" x14ac:dyDescent="0.3">
      <c r="A70" t="s">
        <v>54</v>
      </c>
      <c r="C70" t="str">
        <f t="shared" si="2"/>
        <v>Poor</v>
      </c>
    </row>
    <row r="71" spans="1:3" x14ac:dyDescent="0.3">
      <c r="A71" t="s">
        <v>55</v>
      </c>
      <c r="C71" t="str">
        <f t="shared" si="2"/>
        <v>Poor</v>
      </c>
    </row>
    <row r="72" spans="1:3" x14ac:dyDescent="0.3">
      <c r="A72" t="s">
        <v>56</v>
      </c>
      <c r="C72" t="str">
        <f t="shared" si="2"/>
        <v>Poor</v>
      </c>
    </row>
    <row r="73" spans="1:3" x14ac:dyDescent="0.3">
      <c r="A73" t="s">
        <v>57</v>
      </c>
      <c r="C73" t="str">
        <f t="shared" si="2"/>
        <v>Poor</v>
      </c>
    </row>
    <row r="74" spans="1:3" x14ac:dyDescent="0.3">
      <c r="A74" t="s">
        <v>58</v>
      </c>
      <c r="C74" t="str">
        <f t="shared" si="2"/>
        <v>Poor</v>
      </c>
    </row>
    <row r="75" spans="1:3" x14ac:dyDescent="0.3">
      <c r="A75" t="s">
        <v>59</v>
      </c>
      <c r="C75" t="str">
        <f t="shared" si="2"/>
        <v>Poor</v>
      </c>
    </row>
    <row r="76" spans="1:3" x14ac:dyDescent="0.3">
      <c r="A76" t="s">
        <v>60</v>
      </c>
      <c r="C76" t="str">
        <f t="shared" si="2"/>
        <v>Poor</v>
      </c>
    </row>
    <row r="77" spans="1:3" x14ac:dyDescent="0.3">
      <c r="A77" t="s">
        <v>61</v>
      </c>
      <c r="C77" t="str">
        <f t="shared" si="2"/>
        <v>Poor</v>
      </c>
    </row>
    <row r="78" spans="1:3" x14ac:dyDescent="0.3">
      <c r="A78" t="s">
        <v>62</v>
      </c>
      <c r="C78" t="str">
        <f t="shared" si="2"/>
        <v>Poor</v>
      </c>
    </row>
    <row r="79" spans="1:3" x14ac:dyDescent="0.3">
      <c r="A79" t="s">
        <v>63</v>
      </c>
      <c r="C79" t="str">
        <f t="shared" si="2"/>
        <v>Poor</v>
      </c>
    </row>
    <row r="80" spans="1:3" x14ac:dyDescent="0.3">
      <c r="A80" t="s">
        <v>60</v>
      </c>
      <c r="C80" t="str">
        <f t="shared" si="2"/>
        <v>Poor</v>
      </c>
    </row>
    <row r="81" spans="1:3" x14ac:dyDescent="0.3">
      <c r="A81" t="s">
        <v>79</v>
      </c>
      <c r="C81" t="str">
        <f t="shared" si="2"/>
        <v>Poor</v>
      </c>
    </row>
    <row r="82" spans="1:3" x14ac:dyDescent="0.3">
      <c r="A82" t="s">
        <v>80</v>
      </c>
      <c r="C82" t="str">
        <f t="shared" si="2"/>
        <v>Poor</v>
      </c>
    </row>
    <row r="83" spans="1:3" x14ac:dyDescent="0.3">
      <c r="A83" t="s">
        <v>81</v>
      </c>
      <c r="C83" t="str">
        <f t="shared" si="2"/>
        <v>Poor</v>
      </c>
    </row>
    <row r="84" spans="1:3" x14ac:dyDescent="0.3">
      <c r="A84" t="s">
        <v>82</v>
      </c>
      <c r="C84" t="str">
        <f t="shared" si="2"/>
        <v>Poor</v>
      </c>
    </row>
    <row r="85" spans="1:3" x14ac:dyDescent="0.3">
      <c r="A85" t="s">
        <v>85</v>
      </c>
      <c r="C85" t="str">
        <f t="shared" si="2"/>
        <v>Poor</v>
      </c>
    </row>
    <row r="86" spans="1:3" x14ac:dyDescent="0.3">
      <c r="A86" t="s">
        <v>86</v>
      </c>
      <c r="C86" t="str">
        <f t="shared" si="2"/>
        <v>Poor</v>
      </c>
    </row>
    <row r="87" spans="1:3" x14ac:dyDescent="0.3">
      <c r="A87" t="s">
        <v>54</v>
      </c>
      <c r="C87" t="str">
        <f t="shared" si="2"/>
        <v>Poor</v>
      </c>
    </row>
    <row r="88" spans="1:3" x14ac:dyDescent="0.3">
      <c r="A88" t="s">
        <v>88</v>
      </c>
      <c r="C88" t="str">
        <f t="shared" si="2"/>
        <v>Poor</v>
      </c>
    </row>
    <row r="89" spans="1:3" x14ac:dyDescent="0.3">
      <c r="A89" t="s">
        <v>89</v>
      </c>
      <c r="C89" t="str">
        <f t="shared" si="2"/>
        <v>Poor</v>
      </c>
    </row>
    <row r="90" spans="1:3" x14ac:dyDescent="0.3">
      <c r="A90" t="s">
        <v>90</v>
      </c>
      <c r="C90" t="str">
        <f t="shared" si="2"/>
        <v>Poor</v>
      </c>
    </row>
    <row r="91" spans="1:3" x14ac:dyDescent="0.3">
      <c r="A91" t="s">
        <v>62</v>
      </c>
      <c r="C91" t="str">
        <f t="shared" si="2"/>
        <v>Poor</v>
      </c>
    </row>
    <row r="92" spans="1:3" x14ac:dyDescent="0.3">
      <c r="A92" t="s">
        <v>91</v>
      </c>
      <c r="C92" t="str">
        <f t="shared" si="2"/>
        <v>Poor</v>
      </c>
    </row>
    <row r="93" spans="1:3" x14ac:dyDescent="0.3">
      <c r="A93" t="s">
        <v>92</v>
      </c>
      <c r="C93" t="str">
        <f t="shared" si="2"/>
        <v>Poor</v>
      </c>
    </row>
    <row r="94" spans="1:3" x14ac:dyDescent="0.3">
      <c r="A94" t="s">
        <v>93</v>
      </c>
      <c r="C94" t="str">
        <f t="shared" si="2"/>
        <v>Poor</v>
      </c>
    </row>
    <row r="95" spans="1:3" x14ac:dyDescent="0.3">
      <c r="A95" t="s">
        <v>94</v>
      </c>
      <c r="C95" t="str">
        <f t="shared" si="2"/>
        <v>Poor</v>
      </c>
    </row>
    <row r="96" spans="1:3" x14ac:dyDescent="0.3">
      <c r="A96" t="s">
        <v>95</v>
      </c>
      <c r="C96" t="str">
        <f t="shared" si="2"/>
        <v>Poor</v>
      </c>
    </row>
    <row r="97" spans="1:3" x14ac:dyDescent="0.3">
      <c r="A97" t="s">
        <v>96</v>
      </c>
      <c r="C97" t="str">
        <f t="shared" si="2"/>
        <v>Poor</v>
      </c>
    </row>
    <row r="98" spans="1:3" x14ac:dyDescent="0.3">
      <c r="A98" t="s">
        <v>97</v>
      </c>
      <c r="C98" t="str">
        <f t="shared" ref="C98:C113" si="3">IF(B98&lt;3, "Poor", IF(B98&lt;=4, "Average", "Excellent"))</f>
        <v>Poor</v>
      </c>
    </row>
    <row r="99" spans="1:3" x14ac:dyDescent="0.3">
      <c r="A99" t="s">
        <v>98</v>
      </c>
      <c r="C99" t="str">
        <f t="shared" si="3"/>
        <v>Poor</v>
      </c>
    </row>
    <row r="100" spans="1:3" x14ac:dyDescent="0.3">
      <c r="A100" t="s">
        <v>99</v>
      </c>
      <c r="C100" t="str">
        <f t="shared" si="3"/>
        <v>Poor</v>
      </c>
    </row>
    <row r="101" spans="1:3" x14ac:dyDescent="0.3">
      <c r="A101" t="s">
        <v>100</v>
      </c>
      <c r="C101" t="str">
        <f t="shared" si="3"/>
        <v>Poor</v>
      </c>
    </row>
    <row r="102" spans="1:3" x14ac:dyDescent="0.3">
      <c r="A102" t="s">
        <v>101</v>
      </c>
      <c r="C102" t="str">
        <f t="shared" si="3"/>
        <v>Poor</v>
      </c>
    </row>
    <row r="103" spans="1:3" x14ac:dyDescent="0.3">
      <c r="A103" t="s">
        <v>102</v>
      </c>
      <c r="C103" t="str">
        <f t="shared" si="3"/>
        <v>Poor</v>
      </c>
    </row>
    <row r="104" spans="1:3" x14ac:dyDescent="0.3">
      <c r="A104" t="s">
        <v>103</v>
      </c>
      <c r="C104" t="str">
        <f t="shared" si="3"/>
        <v>Poor</v>
      </c>
    </row>
    <row r="105" spans="1:3" x14ac:dyDescent="0.3">
      <c r="A105" t="s">
        <v>105</v>
      </c>
      <c r="C105" t="str">
        <f t="shared" si="3"/>
        <v>Poor</v>
      </c>
    </row>
    <row r="106" spans="1:3" x14ac:dyDescent="0.3">
      <c r="A106" t="s">
        <v>106</v>
      </c>
      <c r="C106" t="str">
        <f t="shared" si="3"/>
        <v>Poor</v>
      </c>
    </row>
    <row r="107" spans="1:3" x14ac:dyDescent="0.3">
      <c r="A107" t="s">
        <v>107</v>
      </c>
      <c r="C107" t="str">
        <f t="shared" si="3"/>
        <v>Poor</v>
      </c>
    </row>
    <row r="108" spans="1:3" x14ac:dyDescent="0.3">
      <c r="A108" t="s">
        <v>108</v>
      </c>
      <c r="C108" t="str">
        <f t="shared" si="3"/>
        <v>Poor</v>
      </c>
    </row>
    <row r="109" spans="1:3" x14ac:dyDescent="0.3">
      <c r="A109" t="s">
        <v>109</v>
      </c>
      <c r="C109" t="str">
        <f t="shared" si="3"/>
        <v>Poor</v>
      </c>
    </row>
    <row r="110" spans="1:3" x14ac:dyDescent="0.3">
      <c r="A110" t="s">
        <v>110</v>
      </c>
      <c r="C110" t="str">
        <f t="shared" si="3"/>
        <v>Poor</v>
      </c>
    </row>
    <row r="111" spans="1:3" x14ac:dyDescent="0.3">
      <c r="A111" t="s">
        <v>111</v>
      </c>
      <c r="C111" t="str">
        <f t="shared" si="3"/>
        <v>Poor</v>
      </c>
    </row>
    <row r="112" spans="1:3" x14ac:dyDescent="0.3">
      <c r="A112" t="s">
        <v>112</v>
      </c>
      <c r="C112" t="str">
        <f t="shared" si="3"/>
        <v>Poor</v>
      </c>
    </row>
    <row r="113" spans="1:3" x14ac:dyDescent="0.3">
      <c r="A113" t="s">
        <v>114</v>
      </c>
      <c r="C113" t="str">
        <f t="shared" si="3"/>
        <v>Poor</v>
      </c>
    </row>
    <row r="114" spans="1:3" x14ac:dyDescent="0.3">
      <c r="B114" s="1">
        <f>AVERAGE(B2:B113)</f>
        <v>3.8894736842105262</v>
      </c>
    </row>
  </sheetData>
  <sortState xmlns:xlrd2="http://schemas.microsoft.com/office/spreadsheetml/2017/richdata2" ref="A2:C113">
    <sortCondition descending="1" ref="B2:B113"/>
  </sortState>
  <dataConsolid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1971-5100-4751-921F-28A2FF09E6A0}">
  <dimension ref="A1:D114"/>
  <sheetViews>
    <sheetView workbookViewId="0">
      <selection activeCell="G30" sqref="G30"/>
    </sheetView>
  </sheetViews>
  <sheetFormatPr defaultRowHeight="14.4" x14ac:dyDescent="0.3"/>
  <cols>
    <col min="1" max="1" width="87.88671875" bestFit="1" customWidth="1"/>
    <col min="2" max="2" width="8.109375" bestFit="1" customWidth="1"/>
    <col min="3" max="3" width="6.88671875" bestFit="1" customWidth="1"/>
    <col min="4" max="4" width="11.6640625" customWidth="1"/>
  </cols>
  <sheetData>
    <row r="1" spans="1:4" x14ac:dyDescent="0.3">
      <c r="A1" t="s">
        <v>0</v>
      </c>
      <c r="B1" t="s">
        <v>3</v>
      </c>
      <c r="C1" t="s">
        <v>4</v>
      </c>
      <c r="D1" s="1" t="s">
        <v>117</v>
      </c>
    </row>
    <row r="2" spans="1:4" x14ac:dyDescent="0.3">
      <c r="A2" t="s">
        <v>113</v>
      </c>
      <c r="B2" s="2">
        <v>0.5</v>
      </c>
      <c r="C2">
        <v>-1</v>
      </c>
      <c r="D2" t="str">
        <f t="shared" ref="D2:D33" si="0">IF(B2&lt;40%, "Low Discount", IF(B2&lt;=40%, "Medium Discount", "High Discount"))</f>
        <v>High Discount</v>
      </c>
    </row>
    <row r="3" spans="1:4" x14ac:dyDescent="0.3">
      <c r="A3" t="s">
        <v>84</v>
      </c>
      <c r="B3" s="2">
        <v>0.49</v>
      </c>
      <c r="C3">
        <v>-1</v>
      </c>
      <c r="D3" t="str">
        <f t="shared" si="0"/>
        <v>High Discount</v>
      </c>
    </row>
    <row r="4" spans="1:4" x14ac:dyDescent="0.3">
      <c r="A4" t="s">
        <v>87</v>
      </c>
      <c r="B4" s="2">
        <v>0.49</v>
      </c>
      <c r="C4">
        <v>-1</v>
      </c>
      <c r="D4" t="str">
        <f t="shared" si="0"/>
        <v>High Discount</v>
      </c>
    </row>
    <row r="5" spans="1:4" x14ac:dyDescent="0.3">
      <c r="A5" t="s">
        <v>83</v>
      </c>
      <c r="B5" s="2">
        <v>0.46</v>
      </c>
      <c r="C5">
        <v>-1</v>
      </c>
      <c r="D5" t="str">
        <f t="shared" si="0"/>
        <v>High Discount</v>
      </c>
    </row>
    <row r="6" spans="1:4" x14ac:dyDescent="0.3">
      <c r="A6" t="s">
        <v>41</v>
      </c>
      <c r="B6" s="2">
        <v>0.4</v>
      </c>
      <c r="C6">
        <v>-1</v>
      </c>
      <c r="D6" t="str">
        <f t="shared" si="0"/>
        <v>Medium Discount</v>
      </c>
    </row>
    <row r="7" spans="1:4" x14ac:dyDescent="0.3">
      <c r="A7" t="s">
        <v>104</v>
      </c>
      <c r="B7" s="2">
        <v>0.21</v>
      </c>
      <c r="C7">
        <v>-1</v>
      </c>
      <c r="D7" t="str">
        <f t="shared" si="0"/>
        <v>Low Discount</v>
      </c>
    </row>
    <row r="8" spans="1:4" x14ac:dyDescent="0.3">
      <c r="A8" t="s">
        <v>42</v>
      </c>
      <c r="B8" s="2">
        <v>0.53</v>
      </c>
      <c r="C8">
        <v>-2</v>
      </c>
      <c r="D8" t="str">
        <f t="shared" si="0"/>
        <v>High Discount</v>
      </c>
    </row>
    <row r="9" spans="1:4" x14ac:dyDescent="0.3">
      <c r="A9" t="s">
        <v>21</v>
      </c>
      <c r="B9" s="2">
        <v>0.51</v>
      </c>
      <c r="C9">
        <v>-2</v>
      </c>
      <c r="D9" t="str">
        <f t="shared" si="0"/>
        <v>High Discount</v>
      </c>
    </row>
    <row r="10" spans="1:4" x14ac:dyDescent="0.3">
      <c r="A10" t="s">
        <v>22</v>
      </c>
      <c r="B10" s="2">
        <v>0.46</v>
      </c>
      <c r="C10">
        <v>-2</v>
      </c>
      <c r="D10" t="str">
        <f t="shared" si="0"/>
        <v>High Discount</v>
      </c>
    </row>
    <row r="11" spans="1:4" x14ac:dyDescent="0.3">
      <c r="A11" t="s">
        <v>6</v>
      </c>
      <c r="B11" s="2">
        <v>0.38</v>
      </c>
      <c r="C11">
        <v>-2</v>
      </c>
      <c r="D11" t="str">
        <f t="shared" si="0"/>
        <v>Low Discount</v>
      </c>
    </row>
    <row r="12" spans="1:4" x14ac:dyDescent="0.3">
      <c r="A12" t="s">
        <v>44</v>
      </c>
      <c r="B12" s="2">
        <v>0.38</v>
      </c>
      <c r="C12">
        <v>-2</v>
      </c>
      <c r="D12" t="str">
        <f t="shared" si="0"/>
        <v>Low Discount</v>
      </c>
    </row>
    <row r="13" spans="1:4" x14ac:dyDescent="0.3">
      <c r="A13" t="s">
        <v>13</v>
      </c>
      <c r="B13" s="2">
        <v>0.37</v>
      </c>
      <c r="C13">
        <v>-2</v>
      </c>
      <c r="D13" t="str">
        <f t="shared" si="0"/>
        <v>Low Discount</v>
      </c>
    </row>
    <row r="14" spans="1:4" x14ac:dyDescent="0.3">
      <c r="A14" t="s">
        <v>23</v>
      </c>
      <c r="B14" s="2">
        <v>0.49</v>
      </c>
      <c r="C14">
        <v>-3</v>
      </c>
      <c r="D14" t="str">
        <f t="shared" si="0"/>
        <v>High Discount</v>
      </c>
    </row>
    <row r="15" spans="1:4" x14ac:dyDescent="0.3">
      <c r="A15" t="s">
        <v>14</v>
      </c>
      <c r="B15" s="2">
        <v>0.55000000000000004</v>
      </c>
      <c r="C15">
        <v>-5</v>
      </c>
      <c r="D15" t="str">
        <f t="shared" si="0"/>
        <v>High Discount</v>
      </c>
    </row>
    <row r="16" spans="1:4" x14ac:dyDescent="0.3">
      <c r="A16" t="s">
        <v>15</v>
      </c>
      <c r="B16" s="2">
        <v>0.45</v>
      </c>
      <c r="C16">
        <v>-5</v>
      </c>
      <c r="D16" t="str">
        <f t="shared" si="0"/>
        <v>High Discount</v>
      </c>
    </row>
    <row r="17" spans="1:4" x14ac:dyDescent="0.3">
      <c r="A17" t="s">
        <v>76</v>
      </c>
      <c r="B17" s="2">
        <v>0.43</v>
      </c>
      <c r="C17">
        <v>-5</v>
      </c>
      <c r="D17" t="str">
        <f t="shared" si="0"/>
        <v>High Discount</v>
      </c>
    </row>
    <row r="18" spans="1:4" x14ac:dyDescent="0.3">
      <c r="A18" t="s">
        <v>72</v>
      </c>
      <c r="B18" s="2">
        <v>0.39</v>
      </c>
      <c r="C18">
        <v>-5</v>
      </c>
      <c r="D18" t="str">
        <f t="shared" si="0"/>
        <v>Low Discount</v>
      </c>
    </row>
    <row r="19" spans="1:4" x14ac:dyDescent="0.3">
      <c r="A19" t="s">
        <v>74</v>
      </c>
      <c r="B19" s="2">
        <v>0.28999999999999998</v>
      </c>
      <c r="C19">
        <v>-5</v>
      </c>
      <c r="D19" t="str">
        <f t="shared" si="0"/>
        <v>Low Discount</v>
      </c>
    </row>
    <row r="20" spans="1:4" x14ac:dyDescent="0.3">
      <c r="A20" t="s">
        <v>10</v>
      </c>
      <c r="B20" s="2">
        <v>0.26</v>
      </c>
      <c r="C20">
        <v>-5</v>
      </c>
      <c r="D20" t="str">
        <f t="shared" si="0"/>
        <v>Low Discount</v>
      </c>
    </row>
    <row r="21" spans="1:4" x14ac:dyDescent="0.3">
      <c r="A21" t="s">
        <v>24</v>
      </c>
      <c r="B21" s="2">
        <v>0.19</v>
      </c>
      <c r="C21">
        <v>-5</v>
      </c>
      <c r="D21" t="str">
        <f t="shared" si="0"/>
        <v>Low Discount</v>
      </c>
    </row>
    <row r="22" spans="1:4" x14ac:dyDescent="0.3">
      <c r="A22" t="s">
        <v>77</v>
      </c>
      <c r="B22" s="2">
        <v>0.47</v>
      </c>
      <c r="C22">
        <v>-6</v>
      </c>
      <c r="D22" t="str">
        <f t="shared" si="0"/>
        <v>High Discount</v>
      </c>
    </row>
    <row r="23" spans="1:4" x14ac:dyDescent="0.3">
      <c r="A23" t="s">
        <v>70</v>
      </c>
      <c r="B23" s="2">
        <v>0.45</v>
      </c>
      <c r="C23">
        <v>-6</v>
      </c>
      <c r="D23" t="str">
        <f t="shared" si="0"/>
        <v>High Discount</v>
      </c>
    </row>
    <row r="24" spans="1:4" x14ac:dyDescent="0.3">
      <c r="A24" t="s">
        <v>75</v>
      </c>
      <c r="B24" s="2">
        <v>0.43</v>
      </c>
      <c r="C24">
        <v>-6</v>
      </c>
      <c r="D24" t="str">
        <f t="shared" si="0"/>
        <v>High Discount</v>
      </c>
    </row>
    <row r="25" spans="1:4" x14ac:dyDescent="0.3">
      <c r="A25" t="s">
        <v>19</v>
      </c>
      <c r="B25" s="2">
        <v>0.42</v>
      </c>
      <c r="C25">
        <v>-6</v>
      </c>
      <c r="D25" t="str">
        <f t="shared" si="0"/>
        <v>High Discount</v>
      </c>
    </row>
    <row r="26" spans="1:4" x14ac:dyDescent="0.3">
      <c r="A26" t="s">
        <v>28</v>
      </c>
      <c r="B26" s="2">
        <v>0.35</v>
      </c>
      <c r="C26">
        <v>-6</v>
      </c>
      <c r="D26" t="str">
        <f t="shared" si="0"/>
        <v>Low Discount</v>
      </c>
    </row>
    <row r="27" spans="1:4" x14ac:dyDescent="0.3">
      <c r="A27" t="s">
        <v>64</v>
      </c>
      <c r="B27" s="2">
        <v>0.13</v>
      </c>
      <c r="C27">
        <v>-6</v>
      </c>
      <c r="D27" t="str">
        <f t="shared" si="0"/>
        <v>Low Discount</v>
      </c>
    </row>
    <row r="28" spans="1:4" x14ac:dyDescent="0.3">
      <c r="A28" t="s">
        <v>30</v>
      </c>
      <c r="B28" s="2">
        <v>0.54</v>
      </c>
      <c r="C28">
        <v>-7</v>
      </c>
      <c r="D28" t="str">
        <f t="shared" si="0"/>
        <v>High Discount</v>
      </c>
    </row>
    <row r="29" spans="1:4" x14ac:dyDescent="0.3">
      <c r="A29" t="s">
        <v>71</v>
      </c>
      <c r="B29" s="2">
        <v>0.5</v>
      </c>
      <c r="C29">
        <v>-7</v>
      </c>
      <c r="D29" t="str">
        <f t="shared" si="0"/>
        <v>High Discount</v>
      </c>
    </row>
    <row r="30" spans="1:4" x14ac:dyDescent="0.3">
      <c r="A30" t="s">
        <v>78</v>
      </c>
      <c r="B30" s="2">
        <v>0.47</v>
      </c>
      <c r="C30">
        <v>-7</v>
      </c>
      <c r="D30" t="str">
        <f t="shared" si="0"/>
        <v>High Discount</v>
      </c>
    </row>
    <row r="31" spans="1:4" x14ac:dyDescent="0.3">
      <c r="A31" t="s">
        <v>9</v>
      </c>
      <c r="B31" s="2">
        <v>0.37</v>
      </c>
      <c r="C31">
        <v>-7</v>
      </c>
      <c r="D31" t="str">
        <f t="shared" si="0"/>
        <v>Low Discount</v>
      </c>
    </row>
    <row r="32" spans="1:4" x14ac:dyDescent="0.3">
      <c r="A32" t="s">
        <v>36</v>
      </c>
      <c r="B32" s="2">
        <v>0.52</v>
      </c>
      <c r="C32">
        <v>-9</v>
      </c>
      <c r="D32" t="str">
        <f t="shared" si="0"/>
        <v>High Discount</v>
      </c>
    </row>
    <row r="33" spans="1:4" x14ac:dyDescent="0.3">
      <c r="A33" t="s">
        <v>38</v>
      </c>
      <c r="B33" s="2">
        <v>0.48</v>
      </c>
      <c r="C33">
        <v>-9</v>
      </c>
      <c r="D33" t="str">
        <f t="shared" si="0"/>
        <v>High Discount</v>
      </c>
    </row>
    <row r="34" spans="1:4" x14ac:dyDescent="0.3">
      <c r="A34" t="s">
        <v>20</v>
      </c>
      <c r="B34" s="2">
        <v>0.33</v>
      </c>
      <c r="C34">
        <v>-9</v>
      </c>
      <c r="D34" t="str">
        <f t="shared" ref="D34:D65" si="1">IF(B34&lt;40%, "Low Discount", IF(B34&lt;=40%, "Medium Discount", "High Discount"))</f>
        <v>Low Discount</v>
      </c>
    </row>
    <row r="35" spans="1:4" x14ac:dyDescent="0.3">
      <c r="A35" t="s">
        <v>65</v>
      </c>
      <c r="B35" s="2">
        <v>0.54</v>
      </c>
      <c r="C35">
        <v>-10</v>
      </c>
      <c r="D35" t="str">
        <f t="shared" si="1"/>
        <v>High Discount</v>
      </c>
    </row>
    <row r="36" spans="1:4" x14ac:dyDescent="0.3">
      <c r="A36" t="s">
        <v>18</v>
      </c>
      <c r="B36" s="2">
        <v>0.47</v>
      </c>
      <c r="C36">
        <v>-12</v>
      </c>
      <c r="D36" t="str">
        <f t="shared" si="1"/>
        <v>High Discount</v>
      </c>
    </row>
    <row r="37" spans="1:4" x14ac:dyDescent="0.3">
      <c r="A37" t="s">
        <v>37</v>
      </c>
      <c r="B37" s="2">
        <v>0.34</v>
      </c>
      <c r="C37">
        <v>-12</v>
      </c>
      <c r="D37" t="str">
        <f t="shared" si="1"/>
        <v>Low Discount</v>
      </c>
    </row>
    <row r="38" spans="1:4" x14ac:dyDescent="0.3">
      <c r="A38" t="s">
        <v>16</v>
      </c>
      <c r="B38" s="2">
        <v>0.2</v>
      </c>
      <c r="C38">
        <v>-12</v>
      </c>
      <c r="D38" t="str">
        <f t="shared" si="1"/>
        <v>Low Discount</v>
      </c>
    </row>
    <row r="39" spans="1:4" x14ac:dyDescent="0.3">
      <c r="A39" t="s">
        <v>32</v>
      </c>
      <c r="B39" s="2">
        <v>0.18</v>
      </c>
      <c r="C39">
        <v>-12</v>
      </c>
      <c r="D39" t="str">
        <f t="shared" si="1"/>
        <v>Low Discount</v>
      </c>
    </row>
    <row r="40" spans="1:4" x14ac:dyDescent="0.3">
      <c r="A40" t="s">
        <v>66</v>
      </c>
      <c r="B40" s="2">
        <v>0.55000000000000004</v>
      </c>
      <c r="C40">
        <v>-13</v>
      </c>
      <c r="D40" t="str">
        <f t="shared" si="1"/>
        <v>High Discount</v>
      </c>
    </row>
    <row r="41" spans="1:4" x14ac:dyDescent="0.3">
      <c r="A41" t="s">
        <v>26</v>
      </c>
      <c r="B41" s="2">
        <v>0.53</v>
      </c>
      <c r="C41">
        <v>-13</v>
      </c>
      <c r="D41" t="str">
        <f t="shared" si="1"/>
        <v>High Discount</v>
      </c>
    </row>
    <row r="42" spans="1:4" x14ac:dyDescent="0.3">
      <c r="A42" t="s">
        <v>33</v>
      </c>
      <c r="B42" s="2">
        <v>0.32</v>
      </c>
      <c r="C42">
        <v>-13</v>
      </c>
      <c r="D42" t="str">
        <f t="shared" si="1"/>
        <v>Low Discount</v>
      </c>
    </row>
    <row r="43" spans="1:4" x14ac:dyDescent="0.3">
      <c r="A43" t="s">
        <v>7</v>
      </c>
      <c r="B43" s="2">
        <v>0.47</v>
      </c>
      <c r="C43">
        <v>-14</v>
      </c>
      <c r="D43" t="str">
        <f t="shared" si="1"/>
        <v>High Discount</v>
      </c>
    </row>
    <row r="44" spans="1:4" x14ac:dyDescent="0.3">
      <c r="A44" t="s">
        <v>29</v>
      </c>
      <c r="B44" s="2">
        <v>0.23</v>
      </c>
      <c r="C44">
        <v>-14</v>
      </c>
      <c r="D44" t="str">
        <f t="shared" si="1"/>
        <v>Low Discount</v>
      </c>
    </row>
    <row r="45" spans="1:4" x14ac:dyDescent="0.3">
      <c r="A45" t="s">
        <v>68</v>
      </c>
      <c r="B45" s="2">
        <v>0.52</v>
      </c>
      <c r="C45">
        <v>-15</v>
      </c>
      <c r="D45" t="str">
        <f t="shared" si="1"/>
        <v>High Discount</v>
      </c>
    </row>
    <row r="46" spans="1:4" x14ac:dyDescent="0.3">
      <c r="A46" t="s">
        <v>11</v>
      </c>
      <c r="B46" s="2">
        <v>0.09</v>
      </c>
      <c r="C46">
        <v>-15</v>
      </c>
      <c r="D46" t="str">
        <f t="shared" si="1"/>
        <v>Low Discount</v>
      </c>
    </row>
    <row r="47" spans="1:4" x14ac:dyDescent="0.3">
      <c r="A47" t="s">
        <v>69</v>
      </c>
      <c r="B47" s="2">
        <v>0.22</v>
      </c>
      <c r="C47">
        <v>-16</v>
      </c>
      <c r="D47" t="str">
        <f t="shared" si="1"/>
        <v>Low Discount</v>
      </c>
    </row>
    <row r="48" spans="1:4" x14ac:dyDescent="0.3">
      <c r="A48" t="s">
        <v>73</v>
      </c>
      <c r="B48" s="2">
        <v>0.45</v>
      </c>
      <c r="C48">
        <v>-17</v>
      </c>
      <c r="D48" t="str">
        <f t="shared" si="1"/>
        <v>High Discount</v>
      </c>
    </row>
    <row r="49" spans="1:4" x14ac:dyDescent="0.3">
      <c r="A49" t="s">
        <v>34</v>
      </c>
      <c r="B49" s="2">
        <v>0.3</v>
      </c>
      <c r="C49">
        <v>-20</v>
      </c>
      <c r="D49" t="str">
        <f t="shared" si="1"/>
        <v>Low Discount</v>
      </c>
    </row>
    <row r="50" spans="1:4" x14ac:dyDescent="0.3">
      <c r="A50" t="s">
        <v>39</v>
      </c>
      <c r="B50" s="2">
        <v>0.27</v>
      </c>
      <c r="C50">
        <v>-20</v>
      </c>
      <c r="D50" t="str">
        <f t="shared" si="1"/>
        <v>Low Discount</v>
      </c>
    </row>
    <row r="51" spans="1:4" x14ac:dyDescent="0.3">
      <c r="A51" t="s">
        <v>8</v>
      </c>
      <c r="B51" s="2">
        <v>0.25</v>
      </c>
      <c r="C51">
        <v>-24</v>
      </c>
      <c r="D51" t="str">
        <f t="shared" si="1"/>
        <v>Low Discount</v>
      </c>
    </row>
    <row r="52" spans="1:4" x14ac:dyDescent="0.3">
      <c r="A52" t="s">
        <v>40</v>
      </c>
      <c r="B52" s="2">
        <v>0.27</v>
      </c>
      <c r="C52">
        <v>-32</v>
      </c>
      <c r="D52" t="str">
        <f t="shared" si="1"/>
        <v>Low Discount</v>
      </c>
    </row>
    <row r="53" spans="1:4" x14ac:dyDescent="0.3">
      <c r="A53" t="s">
        <v>43</v>
      </c>
      <c r="B53" s="2">
        <v>0.41</v>
      </c>
      <c r="C53">
        <v>-36</v>
      </c>
      <c r="D53" t="str">
        <f t="shared" si="1"/>
        <v>High Discount</v>
      </c>
    </row>
    <row r="54" spans="1:4" x14ac:dyDescent="0.3">
      <c r="A54" t="s">
        <v>17</v>
      </c>
      <c r="B54" s="2">
        <v>0.34</v>
      </c>
      <c r="C54">
        <v>-39</v>
      </c>
      <c r="D54" t="str">
        <f t="shared" si="1"/>
        <v>Low Discount</v>
      </c>
    </row>
    <row r="55" spans="1:4" x14ac:dyDescent="0.3">
      <c r="A55" t="s">
        <v>25</v>
      </c>
      <c r="B55" s="2">
        <v>0.49</v>
      </c>
      <c r="C55">
        <v>-44</v>
      </c>
      <c r="D55" t="str">
        <f t="shared" si="1"/>
        <v>High Discount</v>
      </c>
    </row>
    <row r="56" spans="1:4" x14ac:dyDescent="0.3">
      <c r="A56" t="s">
        <v>31</v>
      </c>
      <c r="B56" s="2">
        <v>0.35</v>
      </c>
      <c r="C56">
        <v>-49</v>
      </c>
      <c r="D56" t="str">
        <f t="shared" si="1"/>
        <v>Low Discount</v>
      </c>
    </row>
    <row r="57" spans="1:4" x14ac:dyDescent="0.3">
      <c r="A57" t="s">
        <v>12</v>
      </c>
      <c r="B57" s="2">
        <v>0.24</v>
      </c>
      <c r="C57">
        <v>-55</v>
      </c>
      <c r="D57" t="str">
        <f t="shared" si="1"/>
        <v>Low Discount</v>
      </c>
    </row>
    <row r="58" spans="1:4" x14ac:dyDescent="0.3">
      <c r="A58" t="s">
        <v>67</v>
      </c>
      <c r="B58" s="2">
        <v>0.49</v>
      </c>
      <c r="C58">
        <v>-69</v>
      </c>
      <c r="D58" t="str">
        <f t="shared" si="1"/>
        <v>High Discount</v>
      </c>
    </row>
    <row r="59" spans="1:4" x14ac:dyDescent="0.3">
      <c r="A59" t="s">
        <v>112</v>
      </c>
      <c r="B59" s="2">
        <v>0.64</v>
      </c>
      <c r="D59" t="str">
        <f t="shared" si="1"/>
        <v>High Discount</v>
      </c>
    </row>
    <row r="60" spans="1:4" x14ac:dyDescent="0.3">
      <c r="A60" t="s">
        <v>54</v>
      </c>
      <c r="B60" s="2">
        <v>0.61</v>
      </c>
      <c r="D60" t="str">
        <f t="shared" si="1"/>
        <v>High Discount</v>
      </c>
    </row>
    <row r="61" spans="1:4" x14ac:dyDescent="0.3">
      <c r="A61" t="s">
        <v>60</v>
      </c>
      <c r="B61" s="2">
        <v>0.55000000000000004</v>
      </c>
      <c r="D61" t="str">
        <f t="shared" si="1"/>
        <v>High Discount</v>
      </c>
    </row>
    <row r="62" spans="1:4" x14ac:dyDescent="0.3">
      <c r="A62" t="s">
        <v>47</v>
      </c>
      <c r="B62" s="2">
        <v>0.5</v>
      </c>
      <c r="D62" t="str">
        <f t="shared" si="1"/>
        <v>High Discount</v>
      </c>
    </row>
    <row r="63" spans="1:4" x14ac:dyDescent="0.3">
      <c r="A63" t="s">
        <v>50</v>
      </c>
      <c r="B63" s="2">
        <v>0.5</v>
      </c>
      <c r="D63" t="str">
        <f t="shared" si="1"/>
        <v>High Discount</v>
      </c>
    </row>
    <row r="64" spans="1:4" x14ac:dyDescent="0.3">
      <c r="A64" t="s">
        <v>55</v>
      </c>
      <c r="B64" s="2">
        <v>0.5</v>
      </c>
      <c r="D64" t="str">
        <f t="shared" si="1"/>
        <v>High Discount</v>
      </c>
    </row>
    <row r="65" spans="1:4" x14ac:dyDescent="0.3">
      <c r="A65" t="s">
        <v>93</v>
      </c>
      <c r="B65" s="2">
        <v>0.5</v>
      </c>
      <c r="D65" t="str">
        <f t="shared" si="1"/>
        <v>High Discount</v>
      </c>
    </row>
    <row r="66" spans="1:4" x14ac:dyDescent="0.3">
      <c r="A66" t="s">
        <v>97</v>
      </c>
      <c r="B66" s="2">
        <v>0.5</v>
      </c>
      <c r="D66" t="str">
        <f t="shared" ref="D66:D97" si="2">IF(B66&lt;40%, "Low Discount", IF(B66&lt;=40%, "Medium Discount", "High Discount"))</f>
        <v>High Discount</v>
      </c>
    </row>
    <row r="67" spans="1:4" x14ac:dyDescent="0.3">
      <c r="A67" t="s">
        <v>46</v>
      </c>
      <c r="B67" s="2">
        <v>0.49</v>
      </c>
      <c r="D67" t="str">
        <f t="shared" si="2"/>
        <v>High Discount</v>
      </c>
    </row>
    <row r="68" spans="1:4" x14ac:dyDescent="0.3">
      <c r="A68" t="s">
        <v>52</v>
      </c>
      <c r="B68" s="2">
        <v>0.49</v>
      </c>
      <c r="D68" t="str">
        <f t="shared" si="2"/>
        <v>High Discount</v>
      </c>
    </row>
    <row r="69" spans="1:4" x14ac:dyDescent="0.3">
      <c r="A69" t="s">
        <v>62</v>
      </c>
      <c r="B69" s="2">
        <v>0.49</v>
      </c>
      <c r="D69" t="str">
        <f t="shared" si="2"/>
        <v>High Discount</v>
      </c>
    </row>
    <row r="70" spans="1:4" x14ac:dyDescent="0.3">
      <c r="A70" t="s">
        <v>82</v>
      </c>
      <c r="B70" s="2">
        <v>0.49</v>
      </c>
      <c r="D70" t="str">
        <f t="shared" si="2"/>
        <v>High Discount</v>
      </c>
    </row>
    <row r="71" spans="1:4" x14ac:dyDescent="0.3">
      <c r="A71" t="s">
        <v>54</v>
      </c>
      <c r="B71" s="2">
        <v>0.49</v>
      </c>
      <c r="D71" t="str">
        <f t="shared" si="2"/>
        <v>High Discount</v>
      </c>
    </row>
    <row r="72" spans="1:4" x14ac:dyDescent="0.3">
      <c r="A72" t="s">
        <v>89</v>
      </c>
      <c r="B72" s="2">
        <v>0.49</v>
      </c>
      <c r="D72" t="str">
        <f t="shared" si="2"/>
        <v>High Discount</v>
      </c>
    </row>
    <row r="73" spans="1:4" x14ac:dyDescent="0.3">
      <c r="A73" t="s">
        <v>62</v>
      </c>
      <c r="B73" s="2">
        <v>0.49</v>
      </c>
      <c r="D73" t="str">
        <f t="shared" si="2"/>
        <v>High Discount</v>
      </c>
    </row>
    <row r="74" spans="1:4" x14ac:dyDescent="0.3">
      <c r="A74" t="s">
        <v>100</v>
      </c>
      <c r="B74" s="2">
        <v>0.49</v>
      </c>
      <c r="D74" t="str">
        <f t="shared" si="2"/>
        <v>High Discount</v>
      </c>
    </row>
    <row r="75" spans="1:4" x14ac:dyDescent="0.3">
      <c r="A75" t="s">
        <v>102</v>
      </c>
      <c r="B75" s="2">
        <v>0.49</v>
      </c>
      <c r="D75" t="str">
        <f t="shared" si="2"/>
        <v>High Discount</v>
      </c>
    </row>
    <row r="76" spans="1:4" x14ac:dyDescent="0.3">
      <c r="A76" t="s">
        <v>61</v>
      </c>
      <c r="B76" s="2">
        <v>0.48</v>
      </c>
      <c r="D76" t="str">
        <f t="shared" si="2"/>
        <v>High Discount</v>
      </c>
    </row>
    <row r="77" spans="1:4" x14ac:dyDescent="0.3">
      <c r="A77" t="s">
        <v>94</v>
      </c>
      <c r="B77" s="2">
        <v>0.48</v>
      </c>
      <c r="D77" t="str">
        <f t="shared" si="2"/>
        <v>High Discount</v>
      </c>
    </row>
    <row r="78" spans="1:4" x14ac:dyDescent="0.3">
      <c r="A78" t="s">
        <v>95</v>
      </c>
      <c r="B78" s="2">
        <v>0.48</v>
      </c>
      <c r="D78" t="str">
        <f t="shared" si="2"/>
        <v>High Discount</v>
      </c>
    </row>
    <row r="79" spans="1:4" x14ac:dyDescent="0.3">
      <c r="A79" t="s">
        <v>79</v>
      </c>
      <c r="B79" s="2">
        <v>0.47</v>
      </c>
      <c r="D79" t="str">
        <f t="shared" si="2"/>
        <v>High Discount</v>
      </c>
    </row>
    <row r="80" spans="1:4" x14ac:dyDescent="0.3">
      <c r="A80" t="s">
        <v>96</v>
      </c>
      <c r="B80" s="2">
        <v>0.47</v>
      </c>
      <c r="D80" t="str">
        <f t="shared" si="2"/>
        <v>High Discount</v>
      </c>
    </row>
    <row r="81" spans="1:4" x14ac:dyDescent="0.3">
      <c r="A81" t="s">
        <v>114</v>
      </c>
      <c r="B81" s="2">
        <v>0.47</v>
      </c>
      <c r="D81" t="str">
        <f t="shared" si="2"/>
        <v>High Discount</v>
      </c>
    </row>
    <row r="82" spans="1:4" x14ac:dyDescent="0.3">
      <c r="A82" t="s">
        <v>35</v>
      </c>
      <c r="B82" s="2">
        <v>0.46</v>
      </c>
      <c r="D82" t="str">
        <f t="shared" si="2"/>
        <v>High Discount</v>
      </c>
    </row>
    <row r="83" spans="1:4" x14ac:dyDescent="0.3">
      <c r="A83" t="s">
        <v>60</v>
      </c>
      <c r="B83" s="2">
        <v>0.45</v>
      </c>
      <c r="D83" t="str">
        <f t="shared" si="2"/>
        <v>High Discount</v>
      </c>
    </row>
    <row r="84" spans="1:4" x14ac:dyDescent="0.3">
      <c r="A84" t="s">
        <v>80</v>
      </c>
      <c r="B84" s="2">
        <v>0.43</v>
      </c>
      <c r="D84" t="str">
        <f t="shared" si="2"/>
        <v>High Discount</v>
      </c>
    </row>
    <row r="85" spans="1:4" x14ac:dyDescent="0.3">
      <c r="A85" t="s">
        <v>92</v>
      </c>
      <c r="B85" s="2">
        <v>0.43</v>
      </c>
      <c r="D85" t="str">
        <f t="shared" si="2"/>
        <v>High Discount</v>
      </c>
    </row>
    <row r="86" spans="1:4" x14ac:dyDescent="0.3">
      <c r="A86" t="s">
        <v>27</v>
      </c>
      <c r="B86" s="2">
        <v>0.42</v>
      </c>
      <c r="D86" t="str">
        <f t="shared" si="2"/>
        <v>High Discount</v>
      </c>
    </row>
    <row r="87" spans="1:4" x14ac:dyDescent="0.3">
      <c r="A87" t="s">
        <v>48</v>
      </c>
      <c r="B87" s="2">
        <v>0.42</v>
      </c>
      <c r="D87" t="str">
        <f t="shared" si="2"/>
        <v>High Discount</v>
      </c>
    </row>
    <row r="88" spans="1:4" x14ac:dyDescent="0.3">
      <c r="A88" t="s">
        <v>103</v>
      </c>
      <c r="B88" s="2">
        <v>0.42</v>
      </c>
      <c r="D88" t="str">
        <f t="shared" si="2"/>
        <v>High Discount</v>
      </c>
    </row>
    <row r="89" spans="1:4" x14ac:dyDescent="0.3">
      <c r="A89" t="s">
        <v>59</v>
      </c>
      <c r="B89" s="2">
        <v>0.41</v>
      </c>
      <c r="D89" t="str">
        <f t="shared" si="2"/>
        <v>High Discount</v>
      </c>
    </row>
    <row r="90" spans="1:4" x14ac:dyDescent="0.3">
      <c r="A90" t="s">
        <v>105</v>
      </c>
      <c r="B90" s="2">
        <v>0.41</v>
      </c>
      <c r="D90" t="str">
        <f t="shared" si="2"/>
        <v>High Discount</v>
      </c>
    </row>
    <row r="91" spans="1:4" x14ac:dyDescent="0.3">
      <c r="A91" t="s">
        <v>45</v>
      </c>
      <c r="B91" s="2">
        <v>0.38</v>
      </c>
      <c r="D91" t="str">
        <f t="shared" si="2"/>
        <v>Low Discount</v>
      </c>
    </row>
    <row r="92" spans="1:4" x14ac:dyDescent="0.3">
      <c r="A92" t="s">
        <v>53</v>
      </c>
      <c r="B92" s="2">
        <v>0.38</v>
      </c>
      <c r="D92" t="str">
        <f t="shared" si="2"/>
        <v>Low Discount</v>
      </c>
    </row>
    <row r="93" spans="1:4" x14ac:dyDescent="0.3">
      <c r="A93" t="s">
        <v>85</v>
      </c>
      <c r="B93" s="2">
        <v>0.36</v>
      </c>
      <c r="D93" t="str">
        <f t="shared" si="2"/>
        <v>Low Discount</v>
      </c>
    </row>
    <row r="94" spans="1:4" x14ac:dyDescent="0.3">
      <c r="A94" t="s">
        <v>108</v>
      </c>
      <c r="B94" s="2">
        <v>0.34</v>
      </c>
      <c r="D94" t="str">
        <f t="shared" si="2"/>
        <v>Low Discount</v>
      </c>
    </row>
    <row r="95" spans="1:4" x14ac:dyDescent="0.3">
      <c r="A95" t="s">
        <v>109</v>
      </c>
      <c r="B95" s="2">
        <v>0.34</v>
      </c>
      <c r="D95" t="str">
        <f t="shared" si="2"/>
        <v>Low Discount</v>
      </c>
    </row>
    <row r="96" spans="1:4" x14ac:dyDescent="0.3">
      <c r="A96" t="s">
        <v>51</v>
      </c>
      <c r="B96" s="2">
        <v>0.33</v>
      </c>
      <c r="D96" t="str">
        <f t="shared" si="2"/>
        <v>Low Discount</v>
      </c>
    </row>
    <row r="97" spans="1:4" x14ac:dyDescent="0.3">
      <c r="A97" t="s">
        <v>63</v>
      </c>
      <c r="B97" s="2">
        <v>0.27</v>
      </c>
      <c r="D97" t="str">
        <f t="shared" si="2"/>
        <v>Low Discount</v>
      </c>
    </row>
    <row r="98" spans="1:4" x14ac:dyDescent="0.3">
      <c r="A98" t="s">
        <v>107</v>
      </c>
      <c r="B98" s="2">
        <v>0.24</v>
      </c>
      <c r="D98" t="str">
        <f t="shared" ref="D98:D113" si="3">IF(B98&lt;40%, "Low Discount", IF(B98&lt;=40%, "Medium Discount", "High Discount"))</f>
        <v>Low Discount</v>
      </c>
    </row>
    <row r="99" spans="1:4" x14ac:dyDescent="0.3">
      <c r="A99" t="s">
        <v>57</v>
      </c>
      <c r="B99" s="2">
        <v>0.22</v>
      </c>
      <c r="D99" t="str">
        <f t="shared" si="3"/>
        <v>Low Discount</v>
      </c>
    </row>
    <row r="100" spans="1:4" x14ac:dyDescent="0.3">
      <c r="A100" t="s">
        <v>88</v>
      </c>
      <c r="B100" s="2">
        <v>0.14000000000000001</v>
      </c>
      <c r="D100" t="str">
        <f t="shared" si="3"/>
        <v>Low Discount</v>
      </c>
    </row>
    <row r="101" spans="1:4" x14ac:dyDescent="0.3">
      <c r="A101" t="s">
        <v>91</v>
      </c>
      <c r="B101" s="2">
        <v>0.14000000000000001</v>
      </c>
      <c r="D101" t="str">
        <f t="shared" si="3"/>
        <v>Low Discount</v>
      </c>
    </row>
    <row r="102" spans="1:4" x14ac:dyDescent="0.3">
      <c r="A102" t="s">
        <v>90</v>
      </c>
      <c r="B102" s="2">
        <v>0.11</v>
      </c>
      <c r="D102" t="str">
        <f t="shared" si="3"/>
        <v>Low Discount</v>
      </c>
    </row>
    <row r="103" spans="1:4" x14ac:dyDescent="0.3">
      <c r="A103" t="s">
        <v>98</v>
      </c>
      <c r="B103" s="2">
        <v>0.08</v>
      </c>
      <c r="D103" t="str">
        <f t="shared" si="3"/>
        <v>Low Discount</v>
      </c>
    </row>
    <row r="104" spans="1:4" x14ac:dyDescent="0.3">
      <c r="A104" t="s">
        <v>81</v>
      </c>
      <c r="B104" s="2">
        <v>0.04</v>
      </c>
      <c r="D104" t="str">
        <f t="shared" si="3"/>
        <v>Low Discount</v>
      </c>
    </row>
    <row r="105" spans="1:4" x14ac:dyDescent="0.3">
      <c r="A105" t="s">
        <v>101</v>
      </c>
      <c r="B105" s="2">
        <v>0.04</v>
      </c>
      <c r="D105" t="str">
        <f t="shared" si="3"/>
        <v>Low Discount</v>
      </c>
    </row>
    <row r="106" spans="1:4" x14ac:dyDescent="0.3">
      <c r="A106" t="s">
        <v>58</v>
      </c>
      <c r="B106" s="2">
        <v>0.03</v>
      </c>
      <c r="D106" t="str">
        <f t="shared" si="3"/>
        <v>Low Discount</v>
      </c>
    </row>
    <row r="107" spans="1:4" x14ac:dyDescent="0.3">
      <c r="A107" t="s">
        <v>49</v>
      </c>
      <c r="B107" s="2">
        <v>0.02</v>
      </c>
      <c r="D107" t="str">
        <f t="shared" si="3"/>
        <v>Low Discount</v>
      </c>
    </row>
    <row r="108" spans="1:4" x14ac:dyDescent="0.3">
      <c r="A108" t="s">
        <v>56</v>
      </c>
      <c r="B108" s="2">
        <v>0.02</v>
      </c>
      <c r="D108" t="str">
        <f t="shared" si="3"/>
        <v>Low Discount</v>
      </c>
    </row>
    <row r="109" spans="1:4" x14ac:dyDescent="0.3">
      <c r="A109" t="s">
        <v>86</v>
      </c>
      <c r="B109" s="2">
        <v>0.02</v>
      </c>
      <c r="D109" t="str">
        <f t="shared" si="3"/>
        <v>Low Discount</v>
      </c>
    </row>
    <row r="110" spans="1:4" x14ac:dyDescent="0.3">
      <c r="A110" t="s">
        <v>99</v>
      </c>
      <c r="B110" s="2">
        <v>0.02</v>
      </c>
      <c r="D110" t="str">
        <f t="shared" si="3"/>
        <v>Low Discount</v>
      </c>
    </row>
    <row r="111" spans="1:4" x14ac:dyDescent="0.3">
      <c r="A111" t="s">
        <v>110</v>
      </c>
      <c r="B111" s="2">
        <v>0.02</v>
      </c>
      <c r="D111" t="str">
        <f t="shared" si="3"/>
        <v>Low Discount</v>
      </c>
    </row>
    <row r="112" spans="1:4" x14ac:dyDescent="0.3">
      <c r="A112" t="s">
        <v>111</v>
      </c>
      <c r="B112" s="2">
        <v>0.02</v>
      </c>
      <c r="D112" t="str">
        <f t="shared" si="3"/>
        <v>Low Discount</v>
      </c>
    </row>
    <row r="113" spans="1:4" x14ac:dyDescent="0.3">
      <c r="A113" t="s">
        <v>106</v>
      </c>
      <c r="B113" s="2">
        <v>0.01</v>
      </c>
      <c r="D113" t="str">
        <f t="shared" si="3"/>
        <v>Low Discount</v>
      </c>
    </row>
    <row r="114" spans="1:4" x14ac:dyDescent="0.3">
      <c r="B114" s="2">
        <f>AVERAGE(B2:B113)</f>
        <v>0.3677678571428572</v>
      </c>
    </row>
  </sheetData>
  <sortState xmlns:xlrd2="http://schemas.microsoft.com/office/spreadsheetml/2017/richdata2" ref="A2:D113">
    <sortCondition descending="1" ref="C2:C113"/>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16DDE-FC7C-4AEE-9D03-AB3944D79721}">
  <dimension ref="A1:B113"/>
  <sheetViews>
    <sheetView workbookViewId="0">
      <selection activeCell="M29" sqref="M29"/>
    </sheetView>
  </sheetViews>
  <sheetFormatPr defaultRowHeight="14.4" x14ac:dyDescent="0.3"/>
  <cols>
    <col min="1" max="1" width="87.88671875" bestFit="1" customWidth="1"/>
    <col min="2" max="2" width="6.88671875" bestFit="1" customWidth="1"/>
  </cols>
  <sheetData>
    <row r="1" spans="1:2" x14ac:dyDescent="0.3">
      <c r="A1" t="s">
        <v>0</v>
      </c>
      <c r="B1" t="s">
        <v>4</v>
      </c>
    </row>
    <row r="2" spans="1:2" x14ac:dyDescent="0.3">
      <c r="A2" t="s">
        <v>113</v>
      </c>
      <c r="B2">
        <v>-1</v>
      </c>
    </row>
    <row r="3" spans="1:2" x14ac:dyDescent="0.3">
      <c r="A3" t="s">
        <v>84</v>
      </c>
      <c r="B3">
        <v>-1</v>
      </c>
    </row>
    <row r="4" spans="1:2" x14ac:dyDescent="0.3">
      <c r="A4" t="s">
        <v>87</v>
      </c>
      <c r="B4">
        <v>-1</v>
      </c>
    </row>
    <row r="5" spans="1:2" x14ac:dyDescent="0.3">
      <c r="A5" t="s">
        <v>83</v>
      </c>
      <c r="B5">
        <v>-1</v>
      </c>
    </row>
    <row r="6" spans="1:2" x14ac:dyDescent="0.3">
      <c r="A6" t="s">
        <v>41</v>
      </c>
      <c r="B6">
        <v>-1</v>
      </c>
    </row>
    <row r="7" spans="1:2" x14ac:dyDescent="0.3">
      <c r="A7" t="s">
        <v>104</v>
      </c>
      <c r="B7">
        <v>-1</v>
      </c>
    </row>
    <row r="8" spans="1:2" x14ac:dyDescent="0.3">
      <c r="A8" t="s">
        <v>42</v>
      </c>
      <c r="B8">
        <v>-2</v>
      </c>
    </row>
    <row r="9" spans="1:2" x14ac:dyDescent="0.3">
      <c r="A9" t="s">
        <v>21</v>
      </c>
      <c r="B9">
        <v>-2</v>
      </c>
    </row>
    <row r="10" spans="1:2" x14ac:dyDescent="0.3">
      <c r="A10" t="s">
        <v>22</v>
      </c>
      <c r="B10">
        <v>-2</v>
      </c>
    </row>
    <row r="11" spans="1:2" x14ac:dyDescent="0.3">
      <c r="A11" t="s">
        <v>6</v>
      </c>
      <c r="B11">
        <v>-2</v>
      </c>
    </row>
    <row r="12" spans="1:2" x14ac:dyDescent="0.3">
      <c r="A12" t="s">
        <v>44</v>
      </c>
      <c r="B12">
        <v>-2</v>
      </c>
    </row>
    <row r="13" spans="1:2" x14ac:dyDescent="0.3">
      <c r="A13" t="s">
        <v>13</v>
      </c>
      <c r="B13">
        <v>-2</v>
      </c>
    </row>
    <row r="14" spans="1:2" x14ac:dyDescent="0.3">
      <c r="A14" t="s">
        <v>23</v>
      </c>
      <c r="B14">
        <v>-3</v>
      </c>
    </row>
    <row r="15" spans="1:2" x14ac:dyDescent="0.3">
      <c r="A15" t="s">
        <v>14</v>
      </c>
      <c r="B15">
        <v>-5</v>
      </c>
    </row>
    <row r="16" spans="1:2" x14ac:dyDescent="0.3">
      <c r="A16" t="s">
        <v>15</v>
      </c>
      <c r="B16">
        <v>-5</v>
      </c>
    </row>
    <row r="17" spans="1:2" x14ac:dyDescent="0.3">
      <c r="A17" t="s">
        <v>76</v>
      </c>
      <c r="B17">
        <v>-5</v>
      </c>
    </row>
    <row r="18" spans="1:2" x14ac:dyDescent="0.3">
      <c r="A18" t="s">
        <v>72</v>
      </c>
      <c r="B18">
        <v>-5</v>
      </c>
    </row>
    <row r="19" spans="1:2" x14ac:dyDescent="0.3">
      <c r="A19" t="s">
        <v>74</v>
      </c>
      <c r="B19">
        <v>-5</v>
      </c>
    </row>
    <row r="20" spans="1:2" x14ac:dyDescent="0.3">
      <c r="A20" t="s">
        <v>10</v>
      </c>
      <c r="B20">
        <v>-5</v>
      </c>
    </row>
    <row r="21" spans="1:2" x14ac:dyDescent="0.3">
      <c r="A21" t="s">
        <v>24</v>
      </c>
      <c r="B21">
        <v>-5</v>
      </c>
    </row>
    <row r="22" spans="1:2" x14ac:dyDescent="0.3">
      <c r="A22" t="s">
        <v>77</v>
      </c>
      <c r="B22">
        <v>-6</v>
      </c>
    </row>
    <row r="23" spans="1:2" x14ac:dyDescent="0.3">
      <c r="A23" t="s">
        <v>70</v>
      </c>
      <c r="B23">
        <v>-6</v>
      </c>
    </row>
    <row r="24" spans="1:2" x14ac:dyDescent="0.3">
      <c r="A24" t="s">
        <v>75</v>
      </c>
      <c r="B24">
        <v>-6</v>
      </c>
    </row>
    <row r="25" spans="1:2" x14ac:dyDescent="0.3">
      <c r="A25" t="s">
        <v>19</v>
      </c>
      <c r="B25">
        <v>-6</v>
      </c>
    </row>
    <row r="26" spans="1:2" x14ac:dyDescent="0.3">
      <c r="A26" t="s">
        <v>28</v>
      </c>
      <c r="B26">
        <v>-6</v>
      </c>
    </row>
    <row r="27" spans="1:2" x14ac:dyDescent="0.3">
      <c r="A27" t="s">
        <v>64</v>
      </c>
      <c r="B27">
        <v>-6</v>
      </c>
    </row>
    <row r="28" spans="1:2" x14ac:dyDescent="0.3">
      <c r="A28" t="s">
        <v>30</v>
      </c>
      <c r="B28">
        <v>-7</v>
      </c>
    </row>
    <row r="29" spans="1:2" x14ac:dyDescent="0.3">
      <c r="A29" t="s">
        <v>71</v>
      </c>
      <c r="B29">
        <v>-7</v>
      </c>
    </row>
    <row r="30" spans="1:2" x14ac:dyDescent="0.3">
      <c r="A30" t="s">
        <v>78</v>
      </c>
      <c r="B30">
        <v>-7</v>
      </c>
    </row>
    <row r="31" spans="1:2" x14ac:dyDescent="0.3">
      <c r="A31" t="s">
        <v>9</v>
      </c>
      <c r="B31">
        <v>-7</v>
      </c>
    </row>
    <row r="32" spans="1:2" x14ac:dyDescent="0.3">
      <c r="A32" t="s">
        <v>36</v>
      </c>
      <c r="B32">
        <v>-9</v>
      </c>
    </row>
    <row r="33" spans="1:2" x14ac:dyDescent="0.3">
      <c r="A33" t="s">
        <v>38</v>
      </c>
      <c r="B33">
        <v>-9</v>
      </c>
    </row>
    <row r="34" spans="1:2" x14ac:dyDescent="0.3">
      <c r="A34" t="s">
        <v>20</v>
      </c>
      <c r="B34">
        <v>-9</v>
      </c>
    </row>
    <row r="35" spans="1:2" x14ac:dyDescent="0.3">
      <c r="A35" t="s">
        <v>65</v>
      </c>
      <c r="B35">
        <v>-10</v>
      </c>
    </row>
    <row r="36" spans="1:2" x14ac:dyDescent="0.3">
      <c r="A36" t="s">
        <v>18</v>
      </c>
      <c r="B36">
        <v>-12</v>
      </c>
    </row>
    <row r="37" spans="1:2" x14ac:dyDescent="0.3">
      <c r="A37" t="s">
        <v>37</v>
      </c>
      <c r="B37">
        <v>-12</v>
      </c>
    </row>
    <row r="38" spans="1:2" x14ac:dyDescent="0.3">
      <c r="A38" t="s">
        <v>16</v>
      </c>
      <c r="B38">
        <v>-12</v>
      </c>
    </row>
    <row r="39" spans="1:2" x14ac:dyDescent="0.3">
      <c r="A39" t="s">
        <v>32</v>
      </c>
      <c r="B39">
        <v>-12</v>
      </c>
    </row>
    <row r="40" spans="1:2" x14ac:dyDescent="0.3">
      <c r="A40" t="s">
        <v>66</v>
      </c>
      <c r="B40">
        <v>-13</v>
      </c>
    </row>
    <row r="41" spans="1:2" x14ac:dyDescent="0.3">
      <c r="A41" t="s">
        <v>26</v>
      </c>
      <c r="B41">
        <v>-13</v>
      </c>
    </row>
    <row r="42" spans="1:2" x14ac:dyDescent="0.3">
      <c r="A42" t="s">
        <v>33</v>
      </c>
      <c r="B42">
        <v>-13</v>
      </c>
    </row>
    <row r="43" spans="1:2" x14ac:dyDescent="0.3">
      <c r="A43" t="s">
        <v>7</v>
      </c>
      <c r="B43">
        <v>-14</v>
      </c>
    </row>
    <row r="44" spans="1:2" x14ac:dyDescent="0.3">
      <c r="A44" t="s">
        <v>29</v>
      </c>
      <c r="B44">
        <v>-14</v>
      </c>
    </row>
    <row r="45" spans="1:2" x14ac:dyDescent="0.3">
      <c r="A45" t="s">
        <v>68</v>
      </c>
      <c r="B45">
        <v>-15</v>
      </c>
    </row>
    <row r="46" spans="1:2" x14ac:dyDescent="0.3">
      <c r="A46" t="s">
        <v>11</v>
      </c>
      <c r="B46">
        <v>-15</v>
      </c>
    </row>
    <row r="47" spans="1:2" x14ac:dyDescent="0.3">
      <c r="A47" t="s">
        <v>69</v>
      </c>
      <c r="B47">
        <v>-16</v>
      </c>
    </row>
    <row r="48" spans="1:2" x14ac:dyDescent="0.3">
      <c r="A48" t="s">
        <v>73</v>
      </c>
      <c r="B48">
        <v>-17</v>
      </c>
    </row>
    <row r="49" spans="1:2" x14ac:dyDescent="0.3">
      <c r="A49" t="s">
        <v>34</v>
      </c>
      <c r="B49">
        <v>-20</v>
      </c>
    </row>
    <row r="50" spans="1:2" x14ac:dyDescent="0.3">
      <c r="A50" t="s">
        <v>39</v>
      </c>
      <c r="B50">
        <v>-20</v>
      </c>
    </row>
    <row r="51" spans="1:2" x14ac:dyDescent="0.3">
      <c r="A51" t="s">
        <v>8</v>
      </c>
      <c r="B51">
        <v>-24</v>
      </c>
    </row>
    <row r="52" spans="1:2" x14ac:dyDescent="0.3">
      <c r="A52" t="s">
        <v>40</v>
      </c>
      <c r="B52">
        <v>-32</v>
      </c>
    </row>
    <row r="53" spans="1:2" x14ac:dyDescent="0.3">
      <c r="A53" t="s">
        <v>43</v>
      </c>
      <c r="B53">
        <v>-36</v>
      </c>
    </row>
    <row r="54" spans="1:2" x14ac:dyDescent="0.3">
      <c r="A54" t="s">
        <v>17</v>
      </c>
      <c r="B54">
        <v>-39</v>
      </c>
    </row>
    <row r="55" spans="1:2" x14ac:dyDescent="0.3">
      <c r="A55" t="s">
        <v>25</v>
      </c>
      <c r="B55">
        <v>-44</v>
      </c>
    </row>
    <row r="56" spans="1:2" x14ac:dyDescent="0.3">
      <c r="A56" t="s">
        <v>31</v>
      </c>
      <c r="B56">
        <v>-49</v>
      </c>
    </row>
    <row r="57" spans="1:2" x14ac:dyDescent="0.3">
      <c r="A57" t="s">
        <v>12</v>
      </c>
      <c r="B57">
        <v>-55</v>
      </c>
    </row>
    <row r="58" spans="1:2" x14ac:dyDescent="0.3">
      <c r="A58" t="s">
        <v>67</v>
      </c>
      <c r="B58">
        <v>-69</v>
      </c>
    </row>
    <row r="59" spans="1:2" x14ac:dyDescent="0.3">
      <c r="A59" t="s">
        <v>112</v>
      </c>
    </row>
    <row r="60" spans="1:2" x14ac:dyDescent="0.3">
      <c r="A60" t="s">
        <v>54</v>
      </c>
    </row>
    <row r="61" spans="1:2" x14ac:dyDescent="0.3">
      <c r="A61" t="s">
        <v>60</v>
      </c>
    </row>
    <row r="62" spans="1:2" x14ac:dyDescent="0.3">
      <c r="A62" t="s">
        <v>47</v>
      </c>
    </row>
    <row r="63" spans="1:2" x14ac:dyDescent="0.3">
      <c r="A63" t="s">
        <v>50</v>
      </c>
    </row>
    <row r="64" spans="1:2" x14ac:dyDescent="0.3">
      <c r="A64" t="s">
        <v>55</v>
      </c>
    </row>
    <row r="65" spans="1:1" x14ac:dyDescent="0.3">
      <c r="A65" t="s">
        <v>93</v>
      </c>
    </row>
    <row r="66" spans="1:1" x14ac:dyDescent="0.3">
      <c r="A66" t="s">
        <v>97</v>
      </c>
    </row>
    <row r="67" spans="1:1" x14ac:dyDescent="0.3">
      <c r="A67" t="s">
        <v>46</v>
      </c>
    </row>
    <row r="68" spans="1:1" x14ac:dyDescent="0.3">
      <c r="A68" t="s">
        <v>52</v>
      </c>
    </row>
    <row r="69" spans="1:1" x14ac:dyDescent="0.3">
      <c r="A69" t="s">
        <v>62</v>
      </c>
    </row>
    <row r="70" spans="1:1" x14ac:dyDescent="0.3">
      <c r="A70" t="s">
        <v>82</v>
      </c>
    </row>
    <row r="71" spans="1:1" x14ac:dyDescent="0.3">
      <c r="A71" t="s">
        <v>54</v>
      </c>
    </row>
    <row r="72" spans="1:1" x14ac:dyDescent="0.3">
      <c r="A72" t="s">
        <v>89</v>
      </c>
    </row>
    <row r="73" spans="1:1" x14ac:dyDescent="0.3">
      <c r="A73" t="s">
        <v>62</v>
      </c>
    </row>
    <row r="74" spans="1:1" x14ac:dyDescent="0.3">
      <c r="A74" t="s">
        <v>100</v>
      </c>
    </row>
    <row r="75" spans="1:1" x14ac:dyDescent="0.3">
      <c r="A75" t="s">
        <v>102</v>
      </c>
    </row>
    <row r="76" spans="1:1" x14ac:dyDescent="0.3">
      <c r="A76" t="s">
        <v>61</v>
      </c>
    </row>
    <row r="77" spans="1:1" x14ac:dyDescent="0.3">
      <c r="A77" t="s">
        <v>94</v>
      </c>
    </row>
    <row r="78" spans="1:1" x14ac:dyDescent="0.3">
      <c r="A78" t="s">
        <v>95</v>
      </c>
    </row>
    <row r="79" spans="1:1" x14ac:dyDescent="0.3">
      <c r="A79" t="s">
        <v>79</v>
      </c>
    </row>
    <row r="80" spans="1:1" x14ac:dyDescent="0.3">
      <c r="A80" t="s">
        <v>96</v>
      </c>
    </row>
    <row r="81" spans="1:1" x14ac:dyDescent="0.3">
      <c r="A81" t="s">
        <v>114</v>
      </c>
    </row>
    <row r="82" spans="1:1" x14ac:dyDescent="0.3">
      <c r="A82" t="s">
        <v>35</v>
      </c>
    </row>
    <row r="83" spans="1:1" x14ac:dyDescent="0.3">
      <c r="A83" t="s">
        <v>60</v>
      </c>
    </row>
    <row r="84" spans="1:1" x14ac:dyDescent="0.3">
      <c r="A84" t="s">
        <v>80</v>
      </c>
    </row>
    <row r="85" spans="1:1" x14ac:dyDescent="0.3">
      <c r="A85" t="s">
        <v>92</v>
      </c>
    </row>
    <row r="86" spans="1:1" x14ac:dyDescent="0.3">
      <c r="A86" t="s">
        <v>27</v>
      </c>
    </row>
    <row r="87" spans="1:1" x14ac:dyDescent="0.3">
      <c r="A87" t="s">
        <v>48</v>
      </c>
    </row>
    <row r="88" spans="1:1" x14ac:dyDescent="0.3">
      <c r="A88" t="s">
        <v>103</v>
      </c>
    </row>
    <row r="89" spans="1:1" x14ac:dyDescent="0.3">
      <c r="A89" t="s">
        <v>59</v>
      </c>
    </row>
    <row r="90" spans="1:1" x14ac:dyDescent="0.3">
      <c r="A90" t="s">
        <v>105</v>
      </c>
    </row>
    <row r="91" spans="1:1" x14ac:dyDescent="0.3">
      <c r="A91" t="s">
        <v>45</v>
      </c>
    </row>
    <row r="92" spans="1:1" x14ac:dyDescent="0.3">
      <c r="A92" t="s">
        <v>53</v>
      </c>
    </row>
    <row r="93" spans="1:1" x14ac:dyDescent="0.3">
      <c r="A93" t="s">
        <v>85</v>
      </c>
    </row>
    <row r="94" spans="1:1" x14ac:dyDescent="0.3">
      <c r="A94" t="s">
        <v>108</v>
      </c>
    </row>
    <row r="95" spans="1:1" x14ac:dyDescent="0.3">
      <c r="A95" t="s">
        <v>109</v>
      </c>
    </row>
    <row r="96" spans="1:1" x14ac:dyDescent="0.3">
      <c r="A96" t="s">
        <v>51</v>
      </c>
    </row>
    <row r="97" spans="1:1" x14ac:dyDescent="0.3">
      <c r="A97" t="s">
        <v>63</v>
      </c>
    </row>
    <row r="98" spans="1:1" x14ac:dyDescent="0.3">
      <c r="A98" t="s">
        <v>107</v>
      </c>
    </row>
    <row r="99" spans="1:1" x14ac:dyDescent="0.3">
      <c r="A99" t="s">
        <v>57</v>
      </c>
    </row>
    <row r="100" spans="1:1" x14ac:dyDescent="0.3">
      <c r="A100" t="s">
        <v>88</v>
      </c>
    </row>
    <row r="101" spans="1:1" x14ac:dyDescent="0.3">
      <c r="A101" t="s">
        <v>91</v>
      </c>
    </row>
    <row r="102" spans="1:1" x14ac:dyDescent="0.3">
      <c r="A102" t="s">
        <v>90</v>
      </c>
    </row>
    <row r="103" spans="1:1" x14ac:dyDescent="0.3">
      <c r="A103" t="s">
        <v>98</v>
      </c>
    </row>
    <row r="104" spans="1:1" x14ac:dyDescent="0.3">
      <c r="A104" t="s">
        <v>81</v>
      </c>
    </row>
    <row r="105" spans="1:1" x14ac:dyDescent="0.3">
      <c r="A105" t="s">
        <v>101</v>
      </c>
    </row>
    <row r="106" spans="1:1" x14ac:dyDescent="0.3">
      <c r="A106" t="s">
        <v>58</v>
      </c>
    </row>
    <row r="107" spans="1:1" x14ac:dyDescent="0.3">
      <c r="A107" t="s">
        <v>49</v>
      </c>
    </row>
    <row r="108" spans="1:1" x14ac:dyDescent="0.3">
      <c r="A108" t="s">
        <v>56</v>
      </c>
    </row>
    <row r="109" spans="1:1" x14ac:dyDescent="0.3">
      <c r="A109" t="s">
        <v>86</v>
      </c>
    </row>
    <row r="110" spans="1:1" x14ac:dyDescent="0.3">
      <c r="A110" t="s">
        <v>99</v>
      </c>
    </row>
    <row r="111" spans="1:1" x14ac:dyDescent="0.3">
      <c r="A111" t="s">
        <v>110</v>
      </c>
    </row>
    <row r="112" spans="1:1" x14ac:dyDescent="0.3">
      <c r="A112" t="s">
        <v>111</v>
      </c>
    </row>
    <row r="113" spans="1:1" x14ac:dyDescent="0.3">
      <c r="A113" t="s">
        <v>106</v>
      </c>
    </row>
  </sheetData>
  <sortState xmlns:xlrd2="http://schemas.microsoft.com/office/spreadsheetml/2017/richdata2" ref="A2:B113">
    <sortCondition descending="1" ref="B2:B113"/>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9621-E46C-467B-988F-126E38529BD2}">
  <dimension ref="B3:B13"/>
  <sheetViews>
    <sheetView workbookViewId="0">
      <selection activeCell="B12" sqref="B12"/>
    </sheetView>
  </sheetViews>
  <sheetFormatPr defaultRowHeight="14.4" x14ac:dyDescent="0.3"/>
  <cols>
    <col min="1" max="1" width="3" customWidth="1"/>
    <col min="2" max="2" width="97.5546875" customWidth="1"/>
  </cols>
  <sheetData>
    <row r="3" spans="2:2" x14ac:dyDescent="0.3">
      <c r="B3" s="7" t="s">
        <v>119</v>
      </c>
    </row>
    <row r="4" spans="2:2" x14ac:dyDescent="0.3">
      <c r="B4" t="s">
        <v>120</v>
      </c>
    </row>
    <row r="5" spans="2:2" x14ac:dyDescent="0.3">
      <c r="B5" t="s">
        <v>121</v>
      </c>
    </row>
    <row r="6" spans="2:2" x14ac:dyDescent="0.3">
      <c r="B6" t="s">
        <v>122</v>
      </c>
    </row>
    <row r="7" spans="2:2" x14ac:dyDescent="0.3">
      <c r="B7" t="s">
        <v>123</v>
      </c>
    </row>
    <row r="9" spans="2:2" x14ac:dyDescent="0.3">
      <c r="B9" s="7" t="s">
        <v>124</v>
      </c>
    </row>
    <row r="10" spans="2:2" x14ac:dyDescent="0.3">
      <c r="B10" t="s">
        <v>137</v>
      </c>
    </row>
    <row r="11" spans="2:2" x14ac:dyDescent="0.3">
      <c r="B11" t="s">
        <v>125</v>
      </c>
    </row>
    <row r="12" spans="2:2" x14ac:dyDescent="0.3">
      <c r="B12" t="s">
        <v>126</v>
      </c>
    </row>
    <row r="13" spans="2:2" x14ac:dyDescent="0.3">
      <c r="B13" t="s">
        <v>127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2E5A0-7F43-4F6E-823D-0CBF01E5287D}">
  <dimension ref="A1:I114"/>
  <sheetViews>
    <sheetView workbookViewId="0">
      <selection activeCell="A114" sqref="A114"/>
    </sheetView>
  </sheetViews>
  <sheetFormatPr defaultRowHeight="14.4" x14ac:dyDescent="0.3"/>
  <cols>
    <col min="1" max="1" width="87.88671875" bestFit="1" customWidth="1"/>
    <col min="2" max="2" width="11.5546875" style="1" bestFit="1" customWidth="1"/>
    <col min="3" max="3" width="11.44140625" style="1" bestFit="1" customWidth="1"/>
    <col min="4" max="4" width="8.109375" bestFit="1" customWidth="1"/>
    <col min="5" max="5" width="15.6640625" style="1" customWidth="1"/>
    <col min="6" max="6" width="6.88671875" bestFit="1" customWidth="1"/>
    <col min="7" max="7" width="6.109375" style="1" bestFit="1" customWidth="1"/>
    <col min="8" max="8" width="13.88671875" customWidth="1"/>
    <col min="9" max="9" width="11.6640625" customWidth="1"/>
  </cols>
  <sheetData>
    <row r="1" spans="1:9" x14ac:dyDescent="0.3">
      <c r="A1" t="s">
        <v>0</v>
      </c>
      <c r="B1" s="1" t="s">
        <v>1</v>
      </c>
      <c r="C1" s="1" t="s">
        <v>2</v>
      </c>
      <c r="D1" t="s">
        <v>3</v>
      </c>
      <c r="E1" s="1" t="s">
        <v>115</v>
      </c>
      <c r="F1" t="s">
        <v>4</v>
      </c>
      <c r="G1" s="1" t="s">
        <v>5</v>
      </c>
      <c r="H1" t="s">
        <v>116</v>
      </c>
      <c r="I1" s="1" t="s">
        <v>117</v>
      </c>
    </row>
    <row r="2" spans="1:9" x14ac:dyDescent="0.3">
      <c r="A2" t="s">
        <v>6</v>
      </c>
      <c r="B2" s="1">
        <v>950</v>
      </c>
      <c r="C2" s="1">
        <v>1525</v>
      </c>
      <c r="D2" s="2">
        <v>0.38</v>
      </c>
      <c r="E2" s="1">
        <f t="shared" ref="E2:E39" si="0">(C2-B2)</f>
        <v>575</v>
      </c>
      <c r="F2">
        <v>-2</v>
      </c>
      <c r="G2" s="1">
        <v>4.5</v>
      </c>
      <c r="H2" t="str">
        <f>IF(G2&lt;3, "Poor", IF(G2&lt;=4, "Average", "Excellent"))</f>
        <v>Excellent</v>
      </c>
      <c r="I2" t="str">
        <f t="shared" ref="I2:I33" si="1">IF(D2&lt;40%, "Low Discount", IF(D2&lt;=40%, "Medium Discount", "High Discount"))</f>
        <v>Low Discount</v>
      </c>
    </row>
    <row r="3" spans="1:9" x14ac:dyDescent="0.3">
      <c r="A3" t="s">
        <v>7</v>
      </c>
      <c r="B3" s="1">
        <v>527</v>
      </c>
      <c r="C3" s="1">
        <v>999</v>
      </c>
      <c r="D3" s="2">
        <v>0.47</v>
      </c>
      <c r="E3" s="1">
        <f t="shared" si="0"/>
        <v>472</v>
      </c>
      <c r="F3">
        <v>-14</v>
      </c>
      <c r="G3" s="1">
        <v>4.0999999999999996</v>
      </c>
      <c r="H3" t="str">
        <f t="shared" ref="H3:H66" si="2">IF(G3&lt;3, "Poor", IF(G3&lt;=4, "Average", "Excellent"))</f>
        <v>Excellent</v>
      </c>
      <c r="I3" t="str">
        <f t="shared" si="1"/>
        <v>High Discount</v>
      </c>
    </row>
    <row r="4" spans="1:9" x14ac:dyDescent="0.3">
      <c r="A4" t="s">
        <v>8</v>
      </c>
      <c r="B4" s="1">
        <v>2199</v>
      </c>
      <c r="C4" s="1">
        <v>2923</v>
      </c>
      <c r="D4" s="2">
        <v>0.25</v>
      </c>
      <c r="E4" s="1">
        <f t="shared" si="0"/>
        <v>724</v>
      </c>
      <c r="F4">
        <v>-24</v>
      </c>
      <c r="G4" s="1">
        <v>4.5999999999999996</v>
      </c>
      <c r="H4" t="str">
        <f t="shared" si="2"/>
        <v>Excellent</v>
      </c>
      <c r="I4" t="str">
        <f t="shared" si="1"/>
        <v>Low Discount</v>
      </c>
    </row>
    <row r="5" spans="1:9" x14ac:dyDescent="0.3">
      <c r="A5" t="s">
        <v>9</v>
      </c>
      <c r="B5" s="1">
        <v>1580</v>
      </c>
      <c r="C5" s="1">
        <v>2499</v>
      </c>
      <c r="D5" s="2">
        <v>0.37</v>
      </c>
      <c r="E5" s="1">
        <f t="shared" si="0"/>
        <v>919</v>
      </c>
      <c r="F5">
        <v>-7</v>
      </c>
      <c r="G5" s="1">
        <v>4.7</v>
      </c>
      <c r="H5" t="str">
        <f t="shared" si="2"/>
        <v>Excellent</v>
      </c>
      <c r="I5" t="str">
        <f t="shared" si="1"/>
        <v>Low Discount</v>
      </c>
    </row>
    <row r="6" spans="1:9" x14ac:dyDescent="0.3">
      <c r="A6" t="s">
        <v>10</v>
      </c>
      <c r="B6" s="1">
        <v>1740</v>
      </c>
      <c r="C6" s="1">
        <v>2356</v>
      </c>
      <c r="D6" s="2">
        <v>0.26</v>
      </c>
      <c r="E6" s="1">
        <f t="shared" si="0"/>
        <v>616</v>
      </c>
      <c r="F6">
        <v>-5</v>
      </c>
      <c r="G6" s="1">
        <v>4.8</v>
      </c>
      <c r="H6" t="str">
        <f t="shared" si="2"/>
        <v>Excellent</v>
      </c>
      <c r="I6" t="str">
        <f t="shared" si="1"/>
        <v>Low Discount</v>
      </c>
    </row>
    <row r="7" spans="1:9" x14ac:dyDescent="0.3">
      <c r="A7" t="s">
        <v>11</v>
      </c>
      <c r="B7" s="1">
        <v>2999</v>
      </c>
      <c r="C7" s="1">
        <v>3290</v>
      </c>
      <c r="D7" s="2">
        <v>0.09</v>
      </c>
      <c r="E7" s="1">
        <f t="shared" si="0"/>
        <v>291</v>
      </c>
      <c r="F7">
        <v>-15</v>
      </c>
      <c r="G7" s="1">
        <v>4</v>
      </c>
      <c r="H7" t="str">
        <f t="shared" si="2"/>
        <v>Average</v>
      </c>
      <c r="I7" t="str">
        <f t="shared" si="1"/>
        <v>Low Discount</v>
      </c>
    </row>
    <row r="8" spans="1:9" x14ac:dyDescent="0.3">
      <c r="A8" t="s">
        <v>12</v>
      </c>
      <c r="B8" s="1">
        <v>2319</v>
      </c>
      <c r="C8" s="1">
        <v>3032</v>
      </c>
      <c r="D8" s="2">
        <v>0.24</v>
      </c>
      <c r="E8" s="1">
        <f t="shared" si="0"/>
        <v>713</v>
      </c>
      <c r="F8">
        <v>-55</v>
      </c>
      <c r="G8" s="1">
        <v>4.5999999999999996</v>
      </c>
      <c r="H8" t="str">
        <f t="shared" si="2"/>
        <v>Excellent</v>
      </c>
      <c r="I8" t="str">
        <f t="shared" si="1"/>
        <v>Low Discount</v>
      </c>
    </row>
    <row r="9" spans="1:9" x14ac:dyDescent="0.3">
      <c r="A9" t="s">
        <v>13</v>
      </c>
      <c r="B9" s="1">
        <v>988</v>
      </c>
      <c r="C9" s="1">
        <v>1580</v>
      </c>
      <c r="D9" s="2">
        <v>0.37</v>
      </c>
      <c r="E9" s="1">
        <f t="shared" si="0"/>
        <v>592</v>
      </c>
      <c r="F9">
        <v>-2</v>
      </c>
      <c r="G9" s="1">
        <v>4</v>
      </c>
      <c r="H9" t="str">
        <f t="shared" si="2"/>
        <v>Average</v>
      </c>
      <c r="I9" t="str">
        <f t="shared" si="1"/>
        <v>Low Discount</v>
      </c>
    </row>
    <row r="10" spans="1:9" x14ac:dyDescent="0.3">
      <c r="A10" t="s">
        <v>14</v>
      </c>
      <c r="B10" s="1">
        <v>1274</v>
      </c>
      <c r="C10" s="1">
        <v>2800</v>
      </c>
      <c r="D10" s="2">
        <v>0.55000000000000004</v>
      </c>
      <c r="E10" s="1">
        <f t="shared" si="0"/>
        <v>1526</v>
      </c>
      <c r="F10">
        <v>-5</v>
      </c>
      <c r="G10" s="1">
        <v>4.8</v>
      </c>
      <c r="H10" t="str">
        <f t="shared" si="2"/>
        <v>Excellent</v>
      </c>
      <c r="I10" t="str">
        <f t="shared" si="1"/>
        <v>High Discount</v>
      </c>
    </row>
    <row r="11" spans="1:9" x14ac:dyDescent="0.3">
      <c r="A11" t="s">
        <v>15</v>
      </c>
      <c r="B11" s="1">
        <v>1600</v>
      </c>
      <c r="C11" s="1">
        <v>2929</v>
      </c>
      <c r="D11" s="2">
        <v>0.45</v>
      </c>
      <c r="E11" s="1">
        <f t="shared" si="0"/>
        <v>1329</v>
      </c>
      <c r="F11">
        <v>-5</v>
      </c>
      <c r="G11" s="1">
        <v>3.8</v>
      </c>
      <c r="H11" t="str">
        <f t="shared" si="2"/>
        <v>Average</v>
      </c>
      <c r="I11" t="str">
        <f t="shared" si="1"/>
        <v>High Discount</v>
      </c>
    </row>
    <row r="12" spans="1:9" x14ac:dyDescent="0.3">
      <c r="A12" t="s">
        <v>16</v>
      </c>
      <c r="B12" s="1">
        <v>799</v>
      </c>
      <c r="C12" s="1">
        <v>999</v>
      </c>
      <c r="D12" s="2">
        <v>0.2</v>
      </c>
      <c r="E12" s="1">
        <f t="shared" si="0"/>
        <v>200</v>
      </c>
      <c r="F12">
        <v>-12</v>
      </c>
      <c r="G12" s="1">
        <v>4.0999999999999996</v>
      </c>
      <c r="H12" t="str">
        <f t="shared" si="2"/>
        <v>Excellent</v>
      </c>
      <c r="I12" t="str">
        <f t="shared" si="1"/>
        <v>Low Discount</v>
      </c>
    </row>
    <row r="13" spans="1:9" x14ac:dyDescent="0.3">
      <c r="A13" t="s">
        <v>17</v>
      </c>
      <c r="B13" s="1">
        <v>990</v>
      </c>
      <c r="C13" s="1">
        <v>1500</v>
      </c>
      <c r="D13" s="2">
        <v>0.34</v>
      </c>
      <c r="E13" s="1">
        <f t="shared" si="0"/>
        <v>510</v>
      </c>
      <c r="F13">
        <v>-39</v>
      </c>
      <c r="G13" s="1">
        <v>4.7</v>
      </c>
      <c r="H13" t="str">
        <f t="shared" si="2"/>
        <v>Excellent</v>
      </c>
      <c r="I13" t="str">
        <f t="shared" si="1"/>
        <v>Low Discount</v>
      </c>
    </row>
    <row r="14" spans="1:9" x14ac:dyDescent="0.3">
      <c r="A14" t="s">
        <v>18</v>
      </c>
      <c r="B14" s="1">
        <v>552</v>
      </c>
      <c r="C14" s="1">
        <v>1035</v>
      </c>
      <c r="D14" s="2">
        <v>0.47</v>
      </c>
      <c r="E14" s="1">
        <f t="shared" si="0"/>
        <v>483</v>
      </c>
      <c r="F14">
        <v>-12</v>
      </c>
      <c r="G14" s="1">
        <v>4.8</v>
      </c>
      <c r="H14" t="str">
        <f t="shared" si="2"/>
        <v>Excellent</v>
      </c>
      <c r="I14" t="str">
        <f t="shared" si="1"/>
        <v>High Discount</v>
      </c>
    </row>
    <row r="15" spans="1:9" x14ac:dyDescent="0.3">
      <c r="A15" t="s">
        <v>19</v>
      </c>
      <c r="B15" s="1">
        <v>501</v>
      </c>
      <c r="C15" s="1">
        <v>860</v>
      </c>
      <c r="D15" s="2">
        <v>0.42</v>
      </c>
      <c r="E15" s="1">
        <f t="shared" si="0"/>
        <v>359</v>
      </c>
      <c r="F15">
        <v>-6</v>
      </c>
      <c r="G15" s="1">
        <v>4.5</v>
      </c>
      <c r="H15" t="str">
        <f t="shared" si="2"/>
        <v>Excellent</v>
      </c>
      <c r="I15" t="str">
        <f t="shared" si="1"/>
        <v>High Discount</v>
      </c>
    </row>
    <row r="16" spans="1:9" x14ac:dyDescent="0.3">
      <c r="A16" t="s">
        <v>20</v>
      </c>
      <c r="B16" s="1">
        <v>1680</v>
      </c>
      <c r="C16" s="1">
        <v>2499</v>
      </c>
      <c r="D16" s="2">
        <v>0.33</v>
      </c>
      <c r="E16" s="1">
        <f t="shared" si="0"/>
        <v>819</v>
      </c>
      <c r="F16">
        <v>-9</v>
      </c>
      <c r="G16" s="1">
        <v>4.2</v>
      </c>
      <c r="H16" t="str">
        <f t="shared" si="2"/>
        <v>Excellent</v>
      </c>
      <c r="I16" t="str">
        <f t="shared" si="1"/>
        <v>Low Discount</v>
      </c>
    </row>
    <row r="17" spans="1:9" x14ac:dyDescent="0.3">
      <c r="A17" t="s">
        <v>21</v>
      </c>
      <c r="B17" s="1">
        <v>332</v>
      </c>
      <c r="C17" s="1">
        <v>684</v>
      </c>
      <c r="D17" s="2">
        <v>0.51</v>
      </c>
      <c r="E17" s="1">
        <f t="shared" si="0"/>
        <v>352</v>
      </c>
      <c r="F17">
        <v>-2</v>
      </c>
      <c r="G17" s="1">
        <v>5</v>
      </c>
      <c r="H17" t="str">
        <f t="shared" si="2"/>
        <v>Excellent</v>
      </c>
      <c r="I17" t="str">
        <f t="shared" si="1"/>
        <v>High Discount</v>
      </c>
    </row>
    <row r="18" spans="1:9" x14ac:dyDescent="0.3">
      <c r="A18" t="s">
        <v>22</v>
      </c>
      <c r="B18" s="1">
        <v>195</v>
      </c>
      <c r="C18" s="1">
        <v>360</v>
      </c>
      <c r="D18" s="2">
        <v>0.46</v>
      </c>
      <c r="E18" s="1">
        <f t="shared" si="0"/>
        <v>165</v>
      </c>
      <c r="F18">
        <v>-2</v>
      </c>
      <c r="G18" s="1">
        <v>5</v>
      </c>
      <c r="H18" t="str">
        <f t="shared" si="2"/>
        <v>Excellent</v>
      </c>
      <c r="I18" t="str">
        <f t="shared" si="1"/>
        <v>High Discount</v>
      </c>
    </row>
    <row r="19" spans="1:9" x14ac:dyDescent="0.3">
      <c r="A19" t="s">
        <v>23</v>
      </c>
      <c r="B19" s="1">
        <v>2025</v>
      </c>
      <c r="C19" s="1">
        <v>3971</v>
      </c>
      <c r="D19" s="2">
        <v>0.49</v>
      </c>
      <c r="E19" s="1">
        <f t="shared" si="0"/>
        <v>1946</v>
      </c>
      <c r="F19">
        <v>-3</v>
      </c>
      <c r="G19" s="1">
        <v>5</v>
      </c>
      <c r="H19" t="str">
        <f t="shared" si="2"/>
        <v>Excellent</v>
      </c>
      <c r="I19" t="str">
        <f t="shared" si="1"/>
        <v>High Discount</v>
      </c>
    </row>
    <row r="20" spans="1:9" x14ac:dyDescent="0.3">
      <c r="A20" t="s">
        <v>24</v>
      </c>
      <c r="B20" s="1">
        <v>2999</v>
      </c>
      <c r="C20" s="1">
        <v>3699</v>
      </c>
      <c r="D20" s="2">
        <v>0.19</v>
      </c>
      <c r="E20" s="1">
        <f t="shared" si="0"/>
        <v>700</v>
      </c>
      <c r="F20">
        <v>-5</v>
      </c>
      <c r="G20" s="1">
        <v>4.5999999999999996</v>
      </c>
      <c r="H20" t="str">
        <f t="shared" si="2"/>
        <v>Excellent</v>
      </c>
      <c r="I20" t="str">
        <f t="shared" si="1"/>
        <v>Low Discount</v>
      </c>
    </row>
    <row r="21" spans="1:9" x14ac:dyDescent="0.3">
      <c r="A21" t="s">
        <v>25</v>
      </c>
      <c r="B21" s="1">
        <v>998</v>
      </c>
      <c r="C21" s="1">
        <v>1966</v>
      </c>
      <c r="D21" s="2">
        <v>0.49</v>
      </c>
      <c r="E21" s="1">
        <f t="shared" si="0"/>
        <v>968</v>
      </c>
      <c r="F21">
        <v>-44</v>
      </c>
      <c r="G21" s="1">
        <v>4.5999999999999996</v>
      </c>
      <c r="H21" t="str">
        <f t="shared" si="2"/>
        <v>Excellent</v>
      </c>
      <c r="I21" t="str">
        <f t="shared" si="1"/>
        <v>High Discount</v>
      </c>
    </row>
    <row r="22" spans="1:9" x14ac:dyDescent="0.3">
      <c r="A22" t="s">
        <v>26</v>
      </c>
      <c r="B22" s="3">
        <v>38</v>
      </c>
      <c r="C22" s="1">
        <v>80</v>
      </c>
      <c r="D22" s="2">
        <v>0.53</v>
      </c>
      <c r="E22" s="1">
        <f t="shared" si="0"/>
        <v>42</v>
      </c>
      <c r="F22">
        <v>-13</v>
      </c>
      <c r="G22" s="1">
        <v>3.3</v>
      </c>
      <c r="H22" t="str">
        <f t="shared" si="2"/>
        <v>Average</v>
      </c>
      <c r="I22" t="str">
        <f t="shared" si="1"/>
        <v>High Discount</v>
      </c>
    </row>
    <row r="23" spans="1:9" x14ac:dyDescent="0.3">
      <c r="A23" t="s">
        <v>27</v>
      </c>
      <c r="B23" s="1">
        <v>1860</v>
      </c>
      <c r="C23" s="1">
        <v>3220</v>
      </c>
      <c r="D23" s="2">
        <v>0.42</v>
      </c>
      <c r="E23" s="1">
        <f t="shared" si="0"/>
        <v>1360</v>
      </c>
      <c r="H23" t="str">
        <f t="shared" si="2"/>
        <v>Poor</v>
      </c>
      <c r="I23" t="str">
        <f t="shared" si="1"/>
        <v>High Discount</v>
      </c>
    </row>
    <row r="24" spans="1:9" x14ac:dyDescent="0.3">
      <c r="A24" t="s">
        <v>28</v>
      </c>
      <c r="B24" s="1">
        <v>880</v>
      </c>
      <c r="C24" s="1">
        <v>1350</v>
      </c>
      <c r="D24" s="2">
        <v>0.35</v>
      </c>
      <c r="E24" s="1">
        <f t="shared" si="0"/>
        <v>470</v>
      </c>
      <c r="F24">
        <v>-6</v>
      </c>
      <c r="G24" s="1">
        <v>4</v>
      </c>
      <c r="H24" t="str">
        <f t="shared" si="2"/>
        <v>Average</v>
      </c>
      <c r="I24" t="str">
        <f t="shared" si="1"/>
        <v>Low Discount</v>
      </c>
    </row>
    <row r="25" spans="1:9" x14ac:dyDescent="0.3">
      <c r="A25" t="s">
        <v>29</v>
      </c>
      <c r="B25" s="1">
        <v>1650</v>
      </c>
      <c r="C25" s="1">
        <v>2150</v>
      </c>
      <c r="D25" s="2">
        <v>0.23</v>
      </c>
      <c r="E25" s="1">
        <f t="shared" si="0"/>
        <v>500</v>
      </c>
      <c r="F25">
        <v>-14</v>
      </c>
      <c r="G25" s="1">
        <v>4.4000000000000004</v>
      </c>
      <c r="H25" t="str">
        <f t="shared" si="2"/>
        <v>Excellent</v>
      </c>
      <c r="I25" t="str">
        <f t="shared" si="1"/>
        <v>Low Discount</v>
      </c>
    </row>
    <row r="26" spans="1:9" x14ac:dyDescent="0.3">
      <c r="A26" t="s">
        <v>30</v>
      </c>
      <c r="B26" s="1">
        <v>2048</v>
      </c>
      <c r="C26" s="1">
        <v>4500</v>
      </c>
      <c r="D26" s="2">
        <v>0.54</v>
      </c>
      <c r="E26" s="1">
        <f t="shared" si="0"/>
        <v>2452</v>
      </c>
      <c r="F26">
        <v>-7</v>
      </c>
      <c r="G26" s="1">
        <v>4.3</v>
      </c>
      <c r="H26" t="str">
        <f t="shared" si="2"/>
        <v>Excellent</v>
      </c>
      <c r="I26" t="str">
        <f t="shared" si="1"/>
        <v>High Discount</v>
      </c>
    </row>
    <row r="27" spans="1:9" x14ac:dyDescent="0.3">
      <c r="A27" t="s">
        <v>31</v>
      </c>
      <c r="B27" s="1">
        <v>420</v>
      </c>
      <c r="C27" s="1">
        <v>647</v>
      </c>
      <c r="D27" s="2">
        <v>0.35</v>
      </c>
      <c r="E27" s="1">
        <f t="shared" si="0"/>
        <v>227</v>
      </c>
      <c r="F27">
        <v>-49</v>
      </c>
      <c r="G27" s="1">
        <v>4.5999999999999996</v>
      </c>
      <c r="H27" t="str">
        <f t="shared" si="2"/>
        <v>Excellent</v>
      </c>
      <c r="I27" t="str">
        <f t="shared" si="1"/>
        <v>Low Discount</v>
      </c>
    </row>
    <row r="28" spans="1:9" x14ac:dyDescent="0.3">
      <c r="A28" t="s">
        <v>32</v>
      </c>
      <c r="B28" s="1">
        <v>2880</v>
      </c>
      <c r="C28" s="1">
        <v>3520</v>
      </c>
      <c r="D28" s="2">
        <v>0.18</v>
      </c>
      <c r="E28" s="1">
        <f t="shared" si="0"/>
        <v>640</v>
      </c>
      <c r="F28">
        <v>-12</v>
      </c>
      <c r="G28" s="1">
        <v>3.8</v>
      </c>
      <c r="H28" t="str">
        <f t="shared" si="2"/>
        <v>Average</v>
      </c>
      <c r="I28" t="str">
        <f t="shared" si="1"/>
        <v>Low Discount</v>
      </c>
    </row>
    <row r="29" spans="1:9" x14ac:dyDescent="0.3">
      <c r="A29" t="s">
        <v>33</v>
      </c>
      <c r="B29" s="1">
        <v>1350</v>
      </c>
      <c r="C29" s="1">
        <v>1990</v>
      </c>
      <c r="D29" s="2">
        <v>0.32</v>
      </c>
      <c r="E29" s="1">
        <f t="shared" si="0"/>
        <v>640</v>
      </c>
      <c r="F29">
        <v>-13</v>
      </c>
      <c r="G29" s="1">
        <v>3.8</v>
      </c>
      <c r="H29" t="str">
        <f t="shared" si="2"/>
        <v>Average</v>
      </c>
      <c r="I29" t="str">
        <f t="shared" si="1"/>
        <v>Low Discount</v>
      </c>
    </row>
    <row r="30" spans="1:9" x14ac:dyDescent="0.3">
      <c r="A30" t="s">
        <v>34</v>
      </c>
      <c r="B30" s="1">
        <v>1758</v>
      </c>
      <c r="C30" s="1">
        <v>2499</v>
      </c>
      <c r="D30" s="2">
        <v>0.3</v>
      </c>
      <c r="E30" s="1">
        <f t="shared" si="0"/>
        <v>741</v>
      </c>
      <c r="F30">
        <v>-20</v>
      </c>
      <c r="G30" s="1">
        <v>4.0999999999999996</v>
      </c>
      <c r="H30" t="str">
        <f t="shared" si="2"/>
        <v>Excellent</v>
      </c>
      <c r="I30" t="str">
        <f t="shared" si="1"/>
        <v>Low Discount</v>
      </c>
    </row>
    <row r="31" spans="1:9" x14ac:dyDescent="0.3">
      <c r="A31" t="s">
        <v>35</v>
      </c>
      <c r="B31" s="1">
        <v>2200</v>
      </c>
      <c r="C31" s="1">
        <v>4080</v>
      </c>
      <c r="D31" s="2">
        <v>0.46</v>
      </c>
      <c r="E31" s="1">
        <f t="shared" si="0"/>
        <v>1880</v>
      </c>
      <c r="H31" t="str">
        <f t="shared" si="2"/>
        <v>Poor</v>
      </c>
      <c r="I31" t="str">
        <f t="shared" si="1"/>
        <v>High Discount</v>
      </c>
    </row>
    <row r="32" spans="1:9" x14ac:dyDescent="0.3">
      <c r="A32" t="s">
        <v>36</v>
      </c>
      <c r="B32" s="1">
        <v>185</v>
      </c>
      <c r="C32" s="1">
        <v>382</v>
      </c>
      <c r="D32" s="2">
        <v>0.52</v>
      </c>
      <c r="E32" s="1">
        <f t="shared" si="0"/>
        <v>197</v>
      </c>
      <c r="F32">
        <v>-9</v>
      </c>
      <c r="G32" s="1">
        <v>4.3</v>
      </c>
      <c r="H32" t="str">
        <f t="shared" si="2"/>
        <v>Excellent</v>
      </c>
      <c r="I32" t="str">
        <f t="shared" si="1"/>
        <v>High Discount</v>
      </c>
    </row>
    <row r="33" spans="1:9" x14ac:dyDescent="0.3">
      <c r="A33" t="s">
        <v>37</v>
      </c>
      <c r="B33" s="1">
        <v>980</v>
      </c>
      <c r="C33" s="1">
        <v>1490</v>
      </c>
      <c r="D33" s="2">
        <v>0.34</v>
      </c>
      <c r="E33" s="1">
        <f t="shared" si="0"/>
        <v>510</v>
      </c>
      <c r="F33">
        <v>-12</v>
      </c>
      <c r="G33" s="1">
        <v>4.7</v>
      </c>
      <c r="H33" t="str">
        <f t="shared" si="2"/>
        <v>Excellent</v>
      </c>
      <c r="I33" t="str">
        <f t="shared" si="1"/>
        <v>Low Discount</v>
      </c>
    </row>
    <row r="34" spans="1:9" x14ac:dyDescent="0.3">
      <c r="A34" t="s">
        <v>38</v>
      </c>
      <c r="B34" s="1">
        <v>1820</v>
      </c>
      <c r="C34" s="1">
        <v>3490</v>
      </c>
      <c r="D34" s="2">
        <v>0.48</v>
      </c>
      <c r="E34" s="1">
        <f t="shared" si="0"/>
        <v>1670</v>
      </c>
      <c r="F34">
        <v>-9</v>
      </c>
      <c r="G34" s="1">
        <v>4.3</v>
      </c>
      <c r="H34" t="str">
        <f t="shared" si="2"/>
        <v>Excellent</v>
      </c>
      <c r="I34" t="str">
        <f t="shared" ref="I34:I66" si="3">IF(D34&lt;40%, "Low Discount", IF(D34&lt;=40%, "Medium Discount", "High Discount"))</f>
        <v>High Discount</v>
      </c>
    </row>
    <row r="35" spans="1:9" x14ac:dyDescent="0.3">
      <c r="A35" t="s">
        <v>39</v>
      </c>
      <c r="B35" s="1">
        <v>1940</v>
      </c>
      <c r="C35" s="1">
        <v>2650</v>
      </c>
      <c r="D35" s="2">
        <v>0.27</v>
      </c>
      <c r="E35" s="1">
        <f t="shared" si="0"/>
        <v>710</v>
      </c>
      <c r="F35">
        <v>-20</v>
      </c>
      <c r="G35" s="1">
        <v>4.7</v>
      </c>
      <c r="H35" t="str">
        <f t="shared" si="2"/>
        <v>Excellent</v>
      </c>
      <c r="I35" t="str">
        <f t="shared" si="3"/>
        <v>Low Discount</v>
      </c>
    </row>
    <row r="36" spans="1:9" x14ac:dyDescent="0.3">
      <c r="A36" t="s">
        <v>40</v>
      </c>
      <c r="B36" s="1">
        <v>1980</v>
      </c>
      <c r="C36" s="1">
        <v>2699</v>
      </c>
      <c r="D36" s="2">
        <v>0.27</v>
      </c>
      <c r="E36" s="1">
        <f t="shared" si="0"/>
        <v>719</v>
      </c>
      <c r="F36">
        <v>-32</v>
      </c>
      <c r="G36" s="1">
        <v>4.5</v>
      </c>
      <c r="H36" t="str">
        <f t="shared" si="2"/>
        <v>Excellent</v>
      </c>
      <c r="I36" t="str">
        <f t="shared" si="3"/>
        <v>Low Discount</v>
      </c>
    </row>
    <row r="37" spans="1:9" x14ac:dyDescent="0.3">
      <c r="A37" t="s">
        <v>41</v>
      </c>
      <c r="B37" s="1">
        <v>1620</v>
      </c>
      <c r="C37" s="1">
        <v>2690</v>
      </c>
      <c r="D37" s="2">
        <v>0.4</v>
      </c>
      <c r="E37" s="1">
        <f t="shared" si="0"/>
        <v>1070</v>
      </c>
      <c r="F37">
        <v>-1</v>
      </c>
      <c r="G37" s="1">
        <v>5</v>
      </c>
      <c r="H37" t="str">
        <f t="shared" si="2"/>
        <v>Excellent</v>
      </c>
      <c r="I37" t="str">
        <f t="shared" si="3"/>
        <v>Medium Discount</v>
      </c>
    </row>
    <row r="38" spans="1:9" x14ac:dyDescent="0.3">
      <c r="A38" t="s">
        <v>42</v>
      </c>
      <c r="B38" s="1">
        <v>171</v>
      </c>
      <c r="C38" s="1">
        <v>360</v>
      </c>
      <c r="D38" s="2">
        <v>0.53</v>
      </c>
      <c r="E38" s="1">
        <f t="shared" si="0"/>
        <v>189</v>
      </c>
      <c r="F38">
        <v>-2</v>
      </c>
      <c r="G38" s="1">
        <v>5</v>
      </c>
      <c r="H38" t="str">
        <f t="shared" si="2"/>
        <v>Excellent</v>
      </c>
      <c r="I38" t="str">
        <f t="shared" si="3"/>
        <v>High Discount</v>
      </c>
    </row>
    <row r="39" spans="1:9" x14ac:dyDescent="0.3">
      <c r="A39" t="s">
        <v>43</v>
      </c>
      <c r="B39" s="1">
        <v>389</v>
      </c>
      <c r="C39" s="1">
        <v>656</v>
      </c>
      <c r="D39" s="2">
        <v>0.41</v>
      </c>
      <c r="E39" s="1">
        <f t="shared" si="0"/>
        <v>267</v>
      </c>
      <c r="F39">
        <v>-36</v>
      </c>
      <c r="G39" s="1">
        <v>4.3</v>
      </c>
      <c r="H39" t="str">
        <f t="shared" si="2"/>
        <v>Excellent</v>
      </c>
      <c r="I39" t="str">
        <f t="shared" si="3"/>
        <v>High Discount</v>
      </c>
    </row>
    <row r="40" spans="1:9" x14ac:dyDescent="0.3">
      <c r="A40" t="s">
        <v>44</v>
      </c>
      <c r="B40" s="1">
        <f>(1980-1620)/2</f>
        <v>180</v>
      </c>
      <c r="C40" s="1">
        <f>(3200-2200)/2</f>
        <v>500</v>
      </c>
      <c r="D40" s="2">
        <v>0.38</v>
      </c>
      <c r="F40">
        <v>-2</v>
      </c>
      <c r="G40" s="1">
        <v>4.5</v>
      </c>
      <c r="H40" t="str">
        <f t="shared" si="2"/>
        <v>Excellent</v>
      </c>
      <c r="I40" t="str">
        <f t="shared" si="3"/>
        <v>Low Discount</v>
      </c>
    </row>
    <row r="41" spans="1:9" x14ac:dyDescent="0.3">
      <c r="A41" t="s">
        <v>45</v>
      </c>
      <c r="B41" s="1">
        <v>2750</v>
      </c>
      <c r="C41" s="1">
        <v>4471</v>
      </c>
      <c r="D41" s="2">
        <v>0.38</v>
      </c>
      <c r="E41" s="1">
        <f t="shared" ref="E41:E67" si="4">(C41-B41)</f>
        <v>1721</v>
      </c>
      <c r="H41" t="str">
        <f t="shared" si="2"/>
        <v>Poor</v>
      </c>
      <c r="I41" t="str">
        <f t="shared" si="3"/>
        <v>Low Discount</v>
      </c>
    </row>
    <row r="42" spans="1:9" x14ac:dyDescent="0.3">
      <c r="A42" t="s">
        <v>46</v>
      </c>
      <c r="B42" s="1">
        <v>475</v>
      </c>
      <c r="C42" s="1">
        <v>931</v>
      </c>
      <c r="D42" s="2">
        <v>0.49</v>
      </c>
      <c r="E42" s="1">
        <f t="shared" si="4"/>
        <v>456</v>
      </c>
      <c r="H42" t="str">
        <f t="shared" si="2"/>
        <v>Poor</v>
      </c>
      <c r="I42" t="str">
        <f t="shared" si="3"/>
        <v>High Discount</v>
      </c>
    </row>
    <row r="43" spans="1:9" x14ac:dyDescent="0.3">
      <c r="A43" t="s">
        <v>47</v>
      </c>
      <c r="B43" s="1">
        <v>238</v>
      </c>
      <c r="C43" s="1">
        <v>476</v>
      </c>
      <c r="D43" s="2">
        <v>0.5</v>
      </c>
      <c r="E43" s="1">
        <f t="shared" si="4"/>
        <v>238</v>
      </c>
      <c r="H43" t="str">
        <f t="shared" si="2"/>
        <v>Poor</v>
      </c>
      <c r="I43" t="str">
        <f t="shared" si="3"/>
        <v>High Discount</v>
      </c>
    </row>
    <row r="44" spans="1:9" x14ac:dyDescent="0.3">
      <c r="A44" t="s">
        <v>48</v>
      </c>
      <c r="B44" s="1">
        <v>610</v>
      </c>
      <c r="C44" s="1">
        <v>1060</v>
      </c>
      <c r="D44" s="2">
        <v>0.42</v>
      </c>
      <c r="E44" s="1">
        <f t="shared" si="4"/>
        <v>450</v>
      </c>
      <c r="H44" t="str">
        <f t="shared" si="2"/>
        <v>Poor</v>
      </c>
      <c r="I44" t="str">
        <f t="shared" si="3"/>
        <v>High Discount</v>
      </c>
    </row>
    <row r="45" spans="1:9" x14ac:dyDescent="0.3">
      <c r="A45" t="s">
        <v>49</v>
      </c>
      <c r="B45" s="1">
        <v>2132</v>
      </c>
      <c r="C45" s="1">
        <v>2169</v>
      </c>
      <c r="D45" s="2">
        <v>0.02</v>
      </c>
      <c r="E45" s="1">
        <f t="shared" si="4"/>
        <v>37</v>
      </c>
      <c r="H45" t="str">
        <f t="shared" si="2"/>
        <v>Poor</v>
      </c>
      <c r="I45" t="str">
        <f t="shared" si="3"/>
        <v>Low Discount</v>
      </c>
    </row>
    <row r="46" spans="1:9" x14ac:dyDescent="0.3">
      <c r="A46" t="s">
        <v>50</v>
      </c>
      <c r="B46" s="1">
        <v>999</v>
      </c>
      <c r="C46" s="1">
        <v>2000</v>
      </c>
      <c r="D46" s="2">
        <v>0.5</v>
      </c>
      <c r="E46" s="1">
        <f t="shared" si="4"/>
        <v>1001</v>
      </c>
      <c r="H46" t="str">
        <f t="shared" si="2"/>
        <v>Poor</v>
      </c>
      <c r="I46" t="str">
        <f t="shared" si="3"/>
        <v>High Discount</v>
      </c>
    </row>
    <row r="47" spans="1:9" x14ac:dyDescent="0.3">
      <c r="A47" t="s">
        <v>51</v>
      </c>
      <c r="B47" s="1">
        <v>1190</v>
      </c>
      <c r="C47" s="1">
        <v>1785</v>
      </c>
      <c r="D47" s="2">
        <v>0.33</v>
      </c>
      <c r="E47" s="1">
        <f t="shared" si="4"/>
        <v>595</v>
      </c>
      <c r="H47" t="str">
        <f t="shared" si="2"/>
        <v>Poor</v>
      </c>
      <c r="I47" t="str">
        <f t="shared" si="3"/>
        <v>Low Discount</v>
      </c>
    </row>
    <row r="48" spans="1:9" x14ac:dyDescent="0.3">
      <c r="A48" t="s">
        <v>52</v>
      </c>
      <c r="B48" s="1">
        <v>671</v>
      </c>
      <c r="C48" s="1">
        <v>1316</v>
      </c>
      <c r="D48" s="2">
        <v>0.49</v>
      </c>
      <c r="E48" s="1">
        <f t="shared" si="4"/>
        <v>645</v>
      </c>
      <c r="H48" t="str">
        <f t="shared" si="2"/>
        <v>Poor</v>
      </c>
      <c r="I48" t="str">
        <f t="shared" si="3"/>
        <v>High Discount</v>
      </c>
    </row>
    <row r="49" spans="1:9" x14ac:dyDescent="0.3">
      <c r="A49" t="s">
        <v>53</v>
      </c>
      <c r="B49" s="1">
        <v>1200</v>
      </c>
      <c r="C49" s="1">
        <v>1950</v>
      </c>
      <c r="D49" s="2">
        <v>0.38</v>
      </c>
      <c r="E49" s="1">
        <f t="shared" si="4"/>
        <v>750</v>
      </c>
      <c r="H49" t="str">
        <f t="shared" si="2"/>
        <v>Poor</v>
      </c>
      <c r="I49" t="str">
        <f t="shared" si="3"/>
        <v>Low Discount</v>
      </c>
    </row>
    <row r="50" spans="1:9" x14ac:dyDescent="0.3">
      <c r="A50" t="s">
        <v>54</v>
      </c>
      <c r="B50" s="1">
        <v>199</v>
      </c>
      <c r="C50" s="1">
        <v>504</v>
      </c>
      <c r="D50" s="2">
        <v>0.61</v>
      </c>
      <c r="E50" s="1">
        <f t="shared" si="4"/>
        <v>305</v>
      </c>
      <c r="H50" t="str">
        <f t="shared" si="2"/>
        <v>Poor</v>
      </c>
      <c r="I50" t="str">
        <f t="shared" si="3"/>
        <v>High Discount</v>
      </c>
    </row>
    <row r="51" spans="1:9" x14ac:dyDescent="0.3">
      <c r="A51" t="s">
        <v>55</v>
      </c>
      <c r="B51" s="1">
        <v>299</v>
      </c>
      <c r="C51" s="1">
        <v>600</v>
      </c>
      <c r="D51" s="2">
        <v>0.5</v>
      </c>
      <c r="E51" s="1">
        <f t="shared" si="4"/>
        <v>301</v>
      </c>
      <c r="H51" t="str">
        <f t="shared" si="2"/>
        <v>Poor</v>
      </c>
      <c r="I51" t="str">
        <f t="shared" si="3"/>
        <v>High Discount</v>
      </c>
    </row>
    <row r="52" spans="1:9" x14ac:dyDescent="0.3">
      <c r="A52" t="s">
        <v>56</v>
      </c>
      <c r="B52" s="1">
        <v>1660</v>
      </c>
      <c r="C52" s="1">
        <v>1699</v>
      </c>
      <c r="D52" s="2">
        <v>0.02</v>
      </c>
      <c r="E52" s="1">
        <f t="shared" si="4"/>
        <v>39</v>
      </c>
      <c r="H52" t="str">
        <f t="shared" si="2"/>
        <v>Poor</v>
      </c>
      <c r="I52" t="str">
        <f t="shared" si="3"/>
        <v>Low Discount</v>
      </c>
    </row>
    <row r="53" spans="1:9" x14ac:dyDescent="0.3">
      <c r="A53" t="s">
        <v>57</v>
      </c>
      <c r="B53" s="1">
        <v>299</v>
      </c>
      <c r="C53" s="1">
        <v>384</v>
      </c>
      <c r="D53" s="2">
        <v>0.22</v>
      </c>
      <c r="E53" s="1">
        <f t="shared" si="4"/>
        <v>85</v>
      </c>
      <c r="H53" t="str">
        <f t="shared" si="2"/>
        <v>Poor</v>
      </c>
      <c r="I53" t="str">
        <f t="shared" si="3"/>
        <v>Low Discount</v>
      </c>
    </row>
    <row r="54" spans="1:9" x14ac:dyDescent="0.3">
      <c r="A54" t="s">
        <v>58</v>
      </c>
      <c r="B54" s="1">
        <v>1459</v>
      </c>
      <c r="C54" s="1">
        <v>1499</v>
      </c>
      <c r="D54" s="2">
        <v>0.03</v>
      </c>
      <c r="E54" s="1">
        <f t="shared" si="4"/>
        <v>40</v>
      </c>
      <c r="H54" t="str">
        <f t="shared" si="2"/>
        <v>Poor</v>
      </c>
      <c r="I54" t="str">
        <f t="shared" si="3"/>
        <v>Low Discount</v>
      </c>
    </row>
    <row r="55" spans="1:9" x14ac:dyDescent="0.3">
      <c r="A55" t="s">
        <v>59</v>
      </c>
      <c r="B55" s="1">
        <v>799</v>
      </c>
      <c r="C55" s="1">
        <v>1343</v>
      </c>
      <c r="D55" s="2">
        <v>0.41</v>
      </c>
      <c r="E55" s="1">
        <f t="shared" si="4"/>
        <v>544</v>
      </c>
      <c r="H55" t="str">
        <f t="shared" si="2"/>
        <v>Poor</v>
      </c>
      <c r="I55" t="str">
        <f t="shared" si="3"/>
        <v>High Discount</v>
      </c>
    </row>
    <row r="56" spans="1:9" x14ac:dyDescent="0.3">
      <c r="A56" t="s">
        <v>60</v>
      </c>
      <c r="B56" s="1">
        <v>499</v>
      </c>
      <c r="C56" s="1">
        <v>900</v>
      </c>
      <c r="D56" s="2">
        <v>0.45</v>
      </c>
      <c r="E56" s="1">
        <f t="shared" si="4"/>
        <v>401</v>
      </c>
      <c r="H56" t="str">
        <f t="shared" si="2"/>
        <v>Poor</v>
      </c>
      <c r="I56" t="str">
        <f t="shared" si="3"/>
        <v>High Discount</v>
      </c>
    </row>
    <row r="57" spans="1:9" x14ac:dyDescent="0.3">
      <c r="A57" t="s">
        <v>61</v>
      </c>
      <c r="B57" s="1">
        <v>699</v>
      </c>
      <c r="C57" s="1">
        <v>1343</v>
      </c>
      <c r="D57" s="2">
        <v>0.48</v>
      </c>
      <c r="E57" s="1">
        <f t="shared" si="4"/>
        <v>644</v>
      </c>
      <c r="H57" t="str">
        <f t="shared" si="2"/>
        <v>Poor</v>
      </c>
      <c r="I57" t="str">
        <f t="shared" si="3"/>
        <v>High Discount</v>
      </c>
    </row>
    <row r="58" spans="1:9" x14ac:dyDescent="0.3">
      <c r="A58" t="s">
        <v>62</v>
      </c>
      <c r="B58" s="1">
        <v>799</v>
      </c>
      <c r="C58" s="1">
        <v>1567</v>
      </c>
      <c r="D58" s="2">
        <v>0.49</v>
      </c>
      <c r="E58" s="1">
        <f t="shared" si="4"/>
        <v>768</v>
      </c>
      <c r="H58" t="str">
        <f t="shared" si="2"/>
        <v>Poor</v>
      </c>
      <c r="I58" t="str">
        <f t="shared" si="3"/>
        <v>High Discount</v>
      </c>
    </row>
    <row r="59" spans="1:9" x14ac:dyDescent="0.3">
      <c r="A59" t="s">
        <v>63</v>
      </c>
      <c r="B59" s="1">
        <v>2799</v>
      </c>
      <c r="C59" s="1">
        <v>3810</v>
      </c>
      <c r="D59" s="2">
        <v>0.27</v>
      </c>
      <c r="E59" s="1">
        <f t="shared" si="4"/>
        <v>1011</v>
      </c>
      <c r="H59" t="str">
        <f t="shared" si="2"/>
        <v>Poor</v>
      </c>
      <c r="I59" t="str">
        <f t="shared" si="3"/>
        <v>Low Discount</v>
      </c>
    </row>
    <row r="60" spans="1:9" x14ac:dyDescent="0.3">
      <c r="A60" t="s">
        <v>60</v>
      </c>
      <c r="B60" s="1">
        <v>399</v>
      </c>
      <c r="C60" s="1">
        <v>896</v>
      </c>
      <c r="D60" s="2">
        <v>0.55000000000000004</v>
      </c>
      <c r="E60" s="1">
        <f t="shared" si="4"/>
        <v>497</v>
      </c>
      <c r="H60" t="str">
        <f t="shared" si="2"/>
        <v>Poor</v>
      </c>
      <c r="I60" t="str">
        <f t="shared" si="3"/>
        <v>High Discount</v>
      </c>
    </row>
    <row r="61" spans="1:9" x14ac:dyDescent="0.3">
      <c r="A61" t="s">
        <v>64</v>
      </c>
      <c r="B61" s="1">
        <v>2170</v>
      </c>
      <c r="C61" s="1">
        <v>2500</v>
      </c>
      <c r="D61" s="2">
        <v>0.13</v>
      </c>
      <c r="E61" s="1">
        <f t="shared" si="4"/>
        <v>330</v>
      </c>
      <c r="F61">
        <v>-6</v>
      </c>
      <c r="G61" s="1">
        <v>2.5</v>
      </c>
      <c r="H61" t="str">
        <f t="shared" si="2"/>
        <v>Poor</v>
      </c>
      <c r="I61" t="str">
        <f t="shared" si="3"/>
        <v>Low Discount</v>
      </c>
    </row>
    <row r="62" spans="1:9" x14ac:dyDescent="0.3">
      <c r="A62" t="s">
        <v>65</v>
      </c>
      <c r="B62" s="1">
        <v>458</v>
      </c>
      <c r="C62" s="1">
        <v>986</v>
      </c>
      <c r="D62" s="2">
        <v>0.54</v>
      </c>
      <c r="E62" s="1">
        <f t="shared" si="4"/>
        <v>528</v>
      </c>
      <c r="F62">
        <v>-10</v>
      </c>
      <c r="G62" s="1">
        <v>3</v>
      </c>
      <c r="H62" t="str">
        <f t="shared" si="2"/>
        <v>Average</v>
      </c>
      <c r="I62" t="str">
        <f t="shared" si="3"/>
        <v>High Discount</v>
      </c>
    </row>
    <row r="63" spans="1:9" x14ac:dyDescent="0.3">
      <c r="A63" t="s">
        <v>66</v>
      </c>
      <c r="B63" s="1">
        <v>2115</v>
      </c>
      <c r="C63" s="1">
        <v>4700</v>
      </c>
      <c r="D63" s="2">
        <v>0.55000000000000004</v>
      </c>
      <c r="E63" s="1">
        <f t="shared" si="4"/>
        <v>2585</v>
      </c>
      <c r="F63">
        <v>-13</v>
      </c>
      <c r="G63" s="1">
        <v>2.1</v>
      </c>
      <c r="H63" t="str">
        <f t="shared" si="2"/>
        <v>Poor</v>
      </c>
      <c r="I63" t="str">
        <f t="shared" si="3"/>
        <v>High Discount</v>
      </c>
    </row>
    <row r="64" spans="1:9" x14ac:dyDescent="0.3">
      <c r="A64" t="s">
        <v>67</v>
      </c>
      <c r="B64" s="1">
        <v>445</v>
      </c>
      <c r="C64" s="1">
        <v>873</v>
      </c>
      <c r="D64" s="2">
        <v>0.49</v>
      </c>
      <c r="E64" s="1">
        <f t="shared" si="4"/>
        <v>428</v>
      </c>
      <c r="F64">
        <v>-69</v>
      </c>
      <c r="G64" s="1">
        <v>2.8</v>
      </c>
      <c r="H64" t="str">
        <f t="shared" si="2"/>
        <v>Poor</v>
      </c>
      <c r="I64" t="str">
        <f t="shared" si="3"/>
        <v>High Discount</v>
      </c>
    </row>
    <row r="65" spans="1:9" x14ac:dyDescent="0.3">
      <c r="A65" t="s">
        <v>68</v>
      </c>
      <c r="B65" s="1">
        <v>325</v>
      </c>
      <c r="C65" s="1">
        <v>680</v>
      </c>
      <c r="D65" s="2">
        <v>0.52</v>
      </c>
      <c r="E65" s="1">
        <f t="shared" si="4"/>
        <v>355</v>
      </c>
      <c r="F65">
        <v>-15</v>
      </c>
      <c r="G65" s="1">
        <v>2.7</v>
      </c>
      <c r="H65" t="str">
        <f t="shared" si="2"/>
        <v>Poor</v>
      </c>
      <c r="I65" t="str">
        <f t="shared" si="3"/>
        <v>High Discount</v>
      </c>
    </row>
    <row r="66" spans="1:9" x14ac:dyDescent="0.3">
      <c r="A66" t="s">
        <v>69</v>
      </c>
      <c r="B66" s="1">
        <v>1220</v>
      </c>
      <c r="C66" s="1">
        <v>1555</v>
      </c>
      <c r="D66" s="2">
        <v>0.22</v>
      </c>
      <c r="E66" s="1">
        <f t="shared" si="4"/>
        <v>335</v>
      </c>
      <c r="F66">
        <v>-16</v>
      </c>
      <c r="G66" s="1">
        <v>2.9</v>
      </c>
      <c r="H66" t="str">
        <f t="shared" si="2"/>
        <v>Poor</v>
      </c>
      <c r="I66" t="str">
        <f t="shared" si="3"/>
        <v>Low Discount</v>
      </c>
    </row>
    <row r="67" spans="1:9" x14ac:dyDescent="0.3">
      <c r="A67" t="s">
        <v>70</v>
      </c>
      <c r="B67" s="1">
        <v>990</v>
      </c>
      <c r="C67" s="1">
        <v>1814</v>
      </c>
      <c r="D67" s="2">
        <v>0.45</v>
      </c>
      <c r="E67" s="1">
        <f t="shared" si="4"/>
        <v>824</v>
      </c>
      <c r="F67">
        <v>-6</v>
      </c>
      <c r="G67" s="1">
        <v>2.2000000000000002</v>
      </c>
      <c r="H67" t="str">
        <f t="shared" ref="H67:H113" si="5">IF(G67&lt;3, "Poor", IF(G67&lt;=4, "Average", "Excellent"))</f>
        <v>Poor</v>
      </c>
      <c r="I67" t="str">
        <f t="shared" ref="I67:I113" si="6">IF(D67&lt;40%, "Low Discount", IF(D67&lt;=40%, "Medium Discount", "High Discount"))</f>
        <v>High Discount</v>
      </c>
    </row>
    <row r="68" spans="1:9" x14ac:dyDescent="0.3">
      <c r="A68" t="s">
        <v>71</v>
      </c>
      <c r="B68" s="1">
        <v>1000</v>
      </c>
      <c r="C68" s="1">
        <v>2000</v>
      </c>
      <c r="D68" s="2">
        <v>0.5</v>
      </c>
      <c r="E68" s="1">
        <f t="shared" ref="E68:E113" si="7">(C68-B68)</f>
        <v>1000</v>
      </c>
      <c r="F68">
        <v>-7</v>
      </c>
      <c r="G68" s="1">
        <v>2.2999999999999998</v>
      </c>
      <c r="H68" t="str">
        <f t="shared" si="5"/>
        <v>Poor</v>
      </c>
      <c r="I68" t="str">
        <f t="shared" si="6"/>
        <v>High Discount</v>
      </c>
    </row>
    <row r="69" spans="1:9" x14ac:dyDescent="0.3">
      <c r="A69" t="s">
        <v>72</v>
      </c>
      <c r="B69" s="4">
        <v>3750</v>
      </c>
      <c r="C69" s="1">
        <v>6143</v>
      </c>
      <c r="D69" s="2">
        <v>0.39</v>
      </c>
      <c r="E69" s="1">
        <f t="shared" si="7"/>
        <v>2393</v>
      </c>
      <c r="F69">
        <v>-5</v>
      </c>
      <c r="G69" s="1">
        <v>3</v>
      </c>
      <c r="H69" t="str">
        <f t="shared" si="5"/>
        <v>Average</v>
      </c>
      <c r="I69" t="str">
        <f t="shared" si="6"/>
        <v>Low Discount</v>
      </c>
    </row>
    <row r="70" spans="1:9" x14ac:dyDescent="0.3">
      <c r="A70" t="s">
        <v>73</v>
      </c>
      <c r="B70" s="1">
        <v>382</v>
      </c>
      <c r="C70" s="1">
        <v>700</v>
      </c>
      <c r="D70" s="2">
        <v>0.45</v>
      </c>
      <c r="E70" s="1">
        <f t="shared" si="7"/>
        <v>318</v>
      </c>
      <c r="F70">
        <v>-17</v>
      </c>
      <c r="G70" s="1">
        <v>2.6</v>
      </c>
      <c r="H70" t="str">
        <f t="shared" si="5"/>
        <v>Poor</v>
      </c>
      <c r="I70" t="str">
        <f t="shared" si="6"/>
        <v>High Discount</v>
      </c>
    </row>
    <row r="71" spans="1:9" x14ac:dyDescent="0.3">
      <c r="A71" t="s">
        <v>74</v>
      </c>
      <c r="B71" s="1">
        <v>2300</v>
      </c>
      <c r="C71" s="1">
        <v>3240</v>
      </c>
      <c r="D71" s="2">
        <v>0.28999999999999998</v>
      </c>
      <c r="E71" s="1">
        <f t="shared" si="7"/>
        <v>940</v>
      </c>
      <c r="F71">
        <v>-5</v>
      </c>
      <c r="G71" s="1">
        <v>3</v>
      </c>
      <c r="H71" t="str">
        <f t="shared" si="5"/>
        <v>Average</v>
      </c>
      <c r="I71" t="str">
        <f t="shared" si="6"/>
        <v>Low Discount</v>
      </c>
    </row>
    <row r="72" spans="1:9" x14ac:dyDescent="0.3">
      <c r="A72" t="s">
        <v>75</v>
      </c>
      <c r="B72" s="1">
        <v>345</v>
      </c>
      <c r="C72" s="1">
        <v>602</v>
      </c>
      <c r="D72" s="2">
        <v>0.43</v>
      </c>
      <c r="E72" s="1">
        <f t="shared" si="7"/>
        <v>257</v>
      </c>
      <c r="F72">
        <v>-6</v>
      </c>
      <c r="G72" s="1">
        <v>2.2999999999999998</v>
      </c>
      <c r="H72" t="str">
        <f t="shared" si="5"/>
        <v>Poor</v>
      </c>
      <c r="I72" t="str">
        <f t="shared" si="6"/>
        <v>High Discount</v>
      </c>
    </row>
    <row r="73" spans="1:9" x14ac:dyDescent="0.3">
      <c r="A73" t="s">
        <v>76</v>
      </c>
      <c r="B73" s="1">
        <v>509</v>
      </c>
      <c r="C73" s="1">
        <v>899</v>
      </c>
      <c r="D73" s="2">
        <v>0.43</v>
      </c>
      <c r="E73" s="1">
        <f t="shared" si="7"/>
        <v>390</v>
      </c>
      <c r="F73">
        <v>-5</v>
      </c>
      <c r="G73" s="1">
        <v>3</v>
      </c>
      <c r="H73" t="str">
        <f t="shared" si="5"/>
        <v>Average</v>
      </c>
      <c r="I73" t="str">
        <f t="shared" si="6"/>
        <v>High Discount</v>
      </c>
    </row>
    <row r="74" spans="1:9" x14ac:dyDescent="0.3">
      <c r="A74" t="s">
        <v>77</v>
      </c>
      <c r="B74" s="1">
        <v>968</v>
      </c>
      <c r="C74" s="1">
        <v>1814</v>
      </c>
      <c r="D74" s="2">
        <v>0.47</v>
      </c>
      <c r="E74" s="1">
        <f t="shared" si="7"/>
        <v>846</v>
      </c>
      <c r="F74">
        <v>-6</v>
      </c>
      <c r="G74" s="1">
        <v>2.2000000000000002</v>
      </c>
      <c r="H74" t="str">
        <f t="shared" si="5"/>
        <v>Poor</v>
      </c>
      <c r="I74" t="str">
        <f t="shared" si="6"/>
        <v>High Discount</v>
      </c>
    </row>
    <row r="75" spans="1:9" x14ac:dyDescent="0.3">
      <c r="A75" t="s">
        <v>78</v>
      </c>
      <c r="B75" s="1">
        <v>1570</v>
      </c>
      <c r="C75" s="1">
        <v>2988</v>
      </c>
      <c r="D75" s="2">
        <v>0.47</v>
      </c>
      <c r="E75" s="1">
        <f t="shared" si="7"/>
        <v>1418</v>
      </c>
      <c r="F75">
        <v>-7</v>
      </c>
      <c r="G75" s="1">
        <v>2.1</v>
      </c>
      <c r="H75" t="str">
        <f t="shared" si="5"/>
        <v>Poor</v>
      </c>
      <c r="I75" t="str">
        <f t="shared" si="6"/>
        <v>High Discount</v>
      </c>
    </row>
    <row r="76" spans="1:9" x14ac:dyDescent="0.3">
      <c r="A76" t="s">
        <v>79</v>
      </c>
      <c r="B76" s="1">
        <v>790</v>
      </c>
      <c r="C76" s="1">
        <v>1485</v>
      </c>
      <c r="D76" s="2">
        <v>0.47</v>
      </c>
      <c r="E76" s="1">
        <f t="shared" si="7"/>
        <v>695</v>
      </c>
      <c r="H76" t="str">
        <f t="shared" si="5"/>
        <v>Poor</v>
      </c>
      <c r="I76" t="str">
        <f t="shared" si="6"/>
        <v>High Discount</v>
      </c>
    </row>
    <row r="77" spans="1:9" x14ac:dyDescent="0.3">
      <c r="A77" t="s">
        <v>80</v>
      </c>
      <c r="B77" s="1">
        <v>690</v>
      </c>
      <c r="C77" s="1">
        <v>1200</v>
      </c>
      <c r="D77" s="2">
        <v>0.43</v>
      </c>
      <c r="E77" s="1">
        <f t="shared" si="7"/>
        <v>510</v>
      </c>
      <c r="H77" t="str">
        <f t="shared" si="5"/>
        <v>Poor</v>
      </c>
      <c r="I77" t="str">
        <f t="shared" si="6"/>
        <v>High Discount</v>
      </c>
    </row>
    <row r="78" spans="1:9" x14ac:dyDescent="0.3">
      <c r="A78" t="s">
        <v>81</v>
      </c>
      <c r="B78" s="1">
        <v>1732</v>
      </c>
      <c r="C78" s="1">
        <v>1799</v>
      </c>
      <c r="D78" s="2">
        <v>0.04</v>
      </c>
      <c r="E78" s="1">
        <f t="shared" si="7"/>
        <v>67</v>
      </c>
      <c r="H78" t="str">
        <f t="shared" si="5"/>
        <v>Poor</v>
      </c>
      <c r="I78" t="str">
        <f t="shared" si="6"/>
        <v>Low Discount</v>
      </c>
    </row>
    <row r="79" spans="1:9" x14ac:dyDescent="0.3">
      <c r="A79" t="s">
        <v>82</v>
      </c>
      <c r="B79" s="1">
        <v>230</v>
      </c>
      <c r="C79" s="1">
        <v>450</v>
      </c>
      <c r="D79" s="2">
        <v>0.49</v>
      </c>
      <c r="E79" s="1">
        <f t="shared" si="7"/>
        <v>220</v>
      </c>
      <c r="H79" t="str">
        <f t="shared" si="5"/>
        <v>Poor</v>
      </c>
      <c r="I79" t="str">
        <f t="shared" si="6"/>
        <v>High Discount</v>
      </c>
    </row>
    <row r="80" spans="1:9" x14ac:dyDescent="0.3">
      <c r="A80" t="s">
        <v>83</v>
      </c>
      <c r="B80" s="1">
        <v>1189</v>
      </c>
      <c r="C80" s="1">
        <v>2199</v>
      </c>
      <c r="D80" s="2">
        <v>0.46</v>
      </c>
      <c r="E80" s="1">
        <f t="shared" si="7"/>
        <v>1010</v>
      </c>
      <c r="F80">
        <v>-1</v>
      </c>
      <c r="G80" s="1">
        <v>3</v>
      </c>
      <c r="H80" t="str">
        <f t="shared" si="5"/>
        <v>Average</v>
      </c>
      <c r="I80" t="str">
        <f t="shared" si="6"/>
        <v>High Discount</v>
      </c>
    </row>
    <row r="81" spans="1:9" x14ac:dyDescent="0.3">
      <c r="A81" t="s">
        <v>84</v>
      </c>
      <c r="B81" s="1">
        <v>979</v>
      </c>
      <c r="C81" s="1">
        <v>1920</v>
      </c>
      <c r="D81" s="2">
        <v>0.49</v>
      </c>
      <c r="E81" s="1">
        <f t="shared" si="7"/>
        <v>941</v>
      </c>
      <c r="F81">
        <v>-1</v>
      </c>
      <c r="G81" s="1">
        <v>5</v>
      </c>
      <c r="H81" t="str">
        <f t="shared" si="5"/>
        <v>Excellent</v>
      </c>
      <c r="I81" t="str">
        <f t="shared" si="6"/>
        <v>High Discount</v>
      </c>
    </row>
    <row r="82" spans="1:9" x14ac:dyDescent="0.3">
      <c r="A82" t="s">
        <v>85</v>
      </c>
      <c r="B82" s="1">
        <v>1460</v>
      </c>
      <c r="C82" s="1">
        <v>2290</v>
      </c>
      <c r="D82" s="2">
        <v>0.36</v>
      </c>
      <c r="E82" s="1">
        <f t="shared" si="7"/>
        <v>830</v>
      </c>
      <c r="H82" t="str">
        <f t="shared" si="5"/>
        <v>Poor</v>
      </c>
      <c r="I82" t="str">
        <f t="shared" si="6"/>
        <v>Low Discount</v>
      </c>
    </row>
    <row r="83" spans="1:9" x14ac:dyDescent="0.3">
      <c r="A83" t="s">
        <v>86</v>
      </c>
      <c r="B83" s="1">
        <v>1666</v>
      </c>
      <c r="C83" s="1">
        <v>1699</v>
      </c>
      <c r="D83" s="2">
        <v>0.02</v>
      </c>
      <c r="E83" s="1">
        <f t="shared" si="7"/>
        <v>33</v>
      </c>
      <c r="H83" t="str">
        <f t="shared" si="5"/>
        <v>Poor</v>
      </c>
      <c r="I83" t="str">
        <f t="shared" si="6"/>
        <v>Low Discount</v>
      </c>
    </row>
    <row r="84" spans="1:9" x14ac:dyDescent="0.3">
      <c r="A84" t="s">
        <v>87</v>
      </c>
      <c r="B84" s="1">
        <v>330</v>
      </c>
      <c r="C84" s="1">
        <v>647</v>
      </c>
      <c r="D84" s="2">
        <v>0.49</v>
      </c>
      <c r="E84" s="1">
        <f t="shared" si="7"/>
        <v>317</v>
      </c>
      <c r="F84">
        <v>-1</v>
      </c>
      <c r="G84" s="1">
        <v>4</v>
      </c>
      <c r="H84" t="str">
        <f t="shared" si="5"/>
        <v>Average</v>
      </c>
      <c r="I84" t="str">
        <f t="shared" si="6"/>
        <v>High Discount</v>
      </c>
    </row>
    <row r="85" spans="1:9" x14ac:dyDescent="0.3">
      <c r="A85" t="s">
        <v>54</v>
      </c>
      <c r="B85" s="1">
        <v>176</v>
      </c>
      <c r="C85" s="1">
        <v>345</v>
      </c>
      <c r="D85" s="2">
        <v>0.49</v>
      </c>
      <c r="E85" s="1">
        <f t="shared" si="7"/>
        <v>169</v>
      </c>
      <c r="H85" t="str">
        <f t="shared" si="5"/>
        <v>Poor</v>
      </c>
      <c r="I85" t="str">
        <f t="shared" si="6"/>
        <v>High Discount</v>
      </c>
    </row>
    <row r="86" spans="1:9" x14ac:dyDescent="0.3">
      <c r="A86" t="s">
        <v>88</v>
      </c>
      <c r="B86" s="1">
        <v>1466</v>
      </c>
      <c r="C86" s="1">
        <v>1699</v>
      </c>
      <c r="D86" s="2">
        <v>0.14000000000000001</v>
      </c>
      <c r="E86" s="1">
        <f t="shared" si="7"/>
        <v>233</v>
      </c>
      <c r="H86" t="str">
        <f t="shared" si="5"/>
        <v>Poor</v>
      </c>
      <c r="I86" t="str">
        <f t="shared" si="6"/>
        <v>Low Discount</v>
      </c>
    </row>
    <row r="87" spans="1:9" x14ac:dyDescent="0.3">
      <c r="A87" t="s">
        <v>89</v>
      </c>
      <c r="B87" s="1">
        <v>274</v>
      </c>
      <c r="C87" s="1">
        <v>537</v>
      </c>
      <c r="D87" s="2">
        <v>0.49</v>
      </c>
      <c r="E87" s="1">
        <f t="shared" si="7"/>
        <v>263</v>
      </c>
      <c r="H87" t="str">
        <f t="shared" si="5"/>
        <v>Poor</v>
      </c>
      <c r="I87" t="str">
        <f t="shared" si="6"/>
        <v>High Discount</v>
      </c>
    </row>
    <row r="88" spans="1:9" x14ac:dyDescent="0.3">
      <c r="A88" t="s">
        <v>90</v>
      </c>
      <c r="B88" s="1">
        <v>799</v>
      </c>
      <c r="C88" s="1">
        <v>900</v>
      </c>
      <c r="D88" s="2">
        <v>0.11</v>
      </c>
      <c r="E88" s="1">
        <f t="shared" si="7"/>
        <v>101</v>
      </c>
      <c r="H88" t="str">
        <f t="shared" si="5"/>
        <v>Poor</v>
      </c>
      <c r="I88" t="str">
        <f t="shared" si="6"/>
        <v>Low Discount</v>
      </c>
    </row>
    <row r="89" spans="1:9" x14ac:dyDescent="0.3">
      <c r="A89" t="s">
        <v>62</v>
      </c>
      <c r="B89" s="1">
        <v>657</v>
      </c>
      <c r="C89" s="1">
        <v>1288</v>
      </c>
      <c r="D89" s="2">
        <v>0.49</v>
      </c>
      <c r="E89" s="1">
        <f t="shared" si="7"/>
        <v>631</v>
      </c>
      <c r="H89" t="str">
        <f t="shared" si="5"/>
        <v>Poor</v>
      </c>
      <c r="I89" t="str">
        <f t="shared" si="6"/>
        <v>High Discount</v>
      </c>
    </row>
    <row r="90" spans="1:9" x14ac:dyDescent="0.3">
      <c r="A90" t="s">
        <v>91</v>
      </c>
      <c r="B90" s="1">
        <v>1468</v>
      </c>
      <c r="C90" s="1">
        <v>1699</v>
      </c>
      <c r="D90" s="2">
        <v>0.14000000000000001</v>
      </c>
      <c r="E90" s="1">
        <f t="shared" si="7"/>
        <v>231</v>
      </c>
      <c r="H90" t="str">
        <f t="shared" si="5"/>
        <v>Poor</v>
      </c>
      <c r="I90" t="str">
        <f t="shared" si="6"/>
        <v>Low Discount</v>
      </c>
    </row>
    <row r="91" spans="1:9" x14ac:dyDescent="0.3">
      <c r="A91" t="s">
        <v>92</v>
      </c>
      <c r="B91" s="1">
        <v>630</v>
      </c>
      <c r="C91" s="1">
        <v>1100</v>
      </c>
      <c r="D91" s="2">
        <v>0.43</v>
      </c>
      <c r="E91" s="1">
        <f t="shared" si="7"/>
        <v>470</v>
      </c>
      <c r="H91" t="str">
        <f t="shared" si="5"/>
        <v>Poor</v>
      </c>
      <c r="I91" t="str">
        <f t="shared" si="6"/>
        <v>High Discount</v>
      </c>
    </row>
    <row r="92" spans="1:9" x14ac:dyDescent="0.3">
      <c r="A92" t="s">
        <v>93</v>
      </c>
      <c r="B92" s="1">
        <v>850</v>
      </c>
      <c r="C92" s="1">
        <v>1700</v>
      </c>
      <c r="D92" s="2">
        <v>0.5</v>
      </c>
      <c r="E92" s="1">
        <f t="shared" si="7"/>
        <v>850</v>
      </c>
      <c r="H92" t="str">
        <f t="shared" si="5"/>
        <v>Poor</v>
      </c>
      <c r="I92" t="str">
        <f t="shared" si="6"/>
        <v>High Discount</v>
      </c>
    </row>
    <row r="93" spans="1:9" x14ac:dyDescent="0.3">
      <c r="A93" t="s">
        <v>94</v>
      </c>
      <c r="B93" s="1">
        <v>1300</v>
      </c>
      <c r="C93" s="1">
        <v>2500</v>
      </c>
      <c r="D93" s="2">
        <v>0.48</v>
      </c>
      <c r="E93" s="1">
        <f t="shared" si="7"/>
        <v>1200</v>
      </c>
      <c r="H93" t="str">
        <f t="shared" si="5"/>
        <v>Poor</v>
      </c>
      <c r="I93" t="str">
        <f t="shared" si="6"/>
        <v>High Discount</v>
      </c>
    </row>
    <row r="94" spans="1:9" x14ac:dyDescent="0.3">
      <c r="A94" t="s">
        <v>95</v>
      </c>
      <c r="B94" s="1">
        <v>105</v>
      </c>
      <c r="C94" s="1">
        <v>200</v>
      </c>
      <c r="D94" s="2">
        <v>0.48</v>
      </c>
      <c r="E94" s="1">
        <f t="shared" si="7"/>
        <v>95</v>
      </c>
      <c r="H94" t="str">
        <f t="shared" si="5"/>
        <v>Poor</v>
      </c>
      <c r="I94" t="str">
        <f t="shared" si="6"/>
        <v>High Discount</v>
      </c>
    </row>
    <row r="95" spans="1:9" x14ac:dyDescent="0.3">
      <c r="A95" t="s">
        <v>96</v>
      </c>
      <c r="B95" s="1">
        <v>899</v>
      </c>
      <c r="C95" s="1">
        <v>1699</v>
      </c>
      <c r="D95" s="2">
        <v>0.47</v>
      </c>
      <c r="E95" s="1">
        <f t="shared" si="7"/>
        <v>800</v>
      </c>
      <c r="H95" t="str">
        <f t="shared" si="5"/>
        <v>Poor</v>
      </c>
      <c r="I95" t="str">
        <f t="shared" si="6"/>
        <v>High Discount</v>
      </c>
    </row>
    <row r="96" spans="1:9" x14ac:dyDescent="0.3">
      <c r="A96" t="s">
        <v>97</v>
      </c>
      <c r="B96" s="1">
        <v>1200</v>
      </c>
      <c r="C96" s="1">
        <v>2400</v>
      </c>
      <c r="D96" s="2">
        <v>0.5</v>
      </c>
      <c r="E96" s="1">
        <f t="shared" si="7"/>
        <v>1200</v>
      </c>
      <c r="H96" t="str">
        <f t="shared" si="5"/>
        <v>Poor</v>
      </c>
      <c r="I96" t="str">
        <f t="shared" si="6"/>
        <v>High Discount</v>
      </c>
    </row>
    <row r="97" spans="1:9" x14ac:dyDescent="0.3">
      <c r="A97" t="s">
        <v>98</v>
      </c>
      <c r="B97" s="1">
        <v>1526</v>
      </c>
      <c r="C97" s="1">
        <v>1660</v>
      </c>
      <c r="D97" s="2">
        <v>0.08</v>
      </c>
      <c r="E97" s="1">
        <f t="shared" si="7"/>
        <v>134</v>
      </c>
      <c r="H97" t="str">
        <f t="shared" si="5"/>
        <v>Poor</v>
      </c>
      <c r="I97" t="str">
        <f t="shared" si="6"/>
        <v>Low Discount</v>
      </c>
    </row>
    <row r="98" spans="1:9" x14ac:dyDescent="0.3">
      <c r="A98" t="s">
        <v>99</v>
      </c>
      <c r="B98" s="1">
        <v>1462</v>
      </c>
      <c r="C98" s="1">
        <v>1499</v>
      </c>
      <c r="D98" s="2">
        <v>0.02</v>
      </c>
      <c r="E98" s="1">
        <f t="shared" si="7"/>
        <v>37</v>
      </c>
      <c r="H98" t="str">
        <f t="shared" si="5"/>
        <v>Poor</v>
      </c>
      <c r="I98" t="str">
        <f t="shared" si="6"/>
        <v>Low Discount</v>
      </c>
    </row>
    <row r="99" spans="1:9" x14ac:dyDescent="0.3">
      <c r="A99" t="s">
        <v>100</v>
      </c>
      <c r="B99" s="1">
        <v>248</v>
      </c>
      <c r="C99" s="1">
        <v>486</v>
      </c>
      <c r="D99" s="2">
        <v>0.49</v>
      </c>
      <c r="E99" s="1">
        <f t="shared" si="7"/>
        <v>238</v>
      </c>
      <c r="H99" t="str">
        <f t="shared" si="5"/>
        <v>Poor</v>
      </c>
      <c r="I99" t="str">
        <f t="shared" si="6"/>
        <v>High Discount</v>
      </c>
    </row>
    <row r="100" spans="1:9" x14ac:dyDescent="0.3">
      <c r="A100" t="s">
        <v>101</v>
      </c>
      <c r="B100" s="1">
        <v>3546</v>
      </c>
      <c r="C100" s="1">
        <v>3699</v>
      </c>
      <c r="D100" s="2">
        <v>0.04</v>
      </c>
      <c r="E100" s="1">
        <f t="shared" si="7"/>
        <v>153</v>
      </c>
      <c r="H100" t="str">
        <f t="shared" si="5"/>
        <v>Poor</v>
      </c>
      <c r="I100" t="str">
        <f t="shared" si="6"/>
        <v>Low Discount</v>
      </c>
    </row>
    <row r="101" spans="1:9" x14ac:dyDescent="0.3">
      <c r="A101" t="s">
        <v>102</v>
      </c>
      <c r="B101" s="1">
        <v>525</v>
      </c>
      <c r="C101" s="1">
        <v>1029</v>
      </c>
      <c r="D101" s="2">
        <v>0.49</v>
      </c>
      <c r="E101" s="1">
        <f t="shared" si="7"/>
        <v>504</v>
      </c>
      <c r="H101" t="str">
        <f t="shared" si="5"/>
        <v>Poor</v>
      </c>
      <c r="I101" t="str">
        <f t="shared" si="6"/>
        <v>High Discount</v>
      </c>
    </row>
    <row r="102" spans="1:9" x14ac:dyDescent="0.3">
      <c r="A102" t="s">
        <v>103</v>
      </c>
      <c r="B102" s="1">
        <v>1080</v>
      </c>
      <c r="C102" s="1">
        <v>1874</v>
      </c>
      <c r="D102" s="2">
        <v>0.42</v>
      </c>
      <c r="E102" s="1">
        <f t="shared" si="7"/>
        <v>794</v>
      </c>
      <c r="H102" t="str">
        <f t="shared" si="5"/>
        <v>Poor</v>
      </c>
      <c r="I102" t="str">
        <f t="shared" si="6"/>
        <v>High Discount</v>
      </c>
    </row>
    <row r="103" spans="1:9" x14ac:dyDescent="0.3">
      <c r="A103" t="s">
        <v>104</v>
      </c>
      <c r="B103" s="1">
        <v>3640</v>
      </c>
      <c r="C103" s="1">
        <v>4588</v>
      </c>
      <c r="D103" s="2">
        <v>0.21</v>
      </c>
      <c r="E103" s="1">
        <f t="shared" si="7"/>
        <v>948</v>
      </c>
      <c r="F103">
        <v>-1</v>
      </c>
      <c r="G103" s="1">
        <v>5</v>
      </c>
      <c r="H103" t="str">
        <f t="shared" si="5"/>
        <v>Excellent</v>
      </c>
      <c r="I103" t="str">
        <f t="shared" si="6"/>
        <v>Low Discount</v>
      </c>
    </row>
    <row r="104" spans="1:9" x14ac:dyDescent="0.3">
      <c r="A104" t="s">
        <v>105</v>
      </c>
      <c r="B104" s="1">
        <v>1420</v>
      </c>
      <c r="C104" s="1">
        <v>2420</v>
      </c>
      <c r="D104" s="2">
        <v>0.41</v>
      </c>
      <c r="E104" s="1">
        <f t="shared" si="7"/>
        <v>1000</v>
      </c>
      <c r="H104" t="str">
        <f t="shared" si="5"/>
        <v>Poor</v>
      </c>
      <c r="I104" t="str">
        <f t="shared" si="6"/>
        <v>High Discount</v>
      </c>
    </row>
    <row r="105" spans="1:9" x14ac:dyDescent="0.3">
      <c r="A105" t="s">
        <v>106</v>
      </c>
      <c r="B105" s="1">
        <v>1875</v>
      </c>
      <c r="C105" s="1">
        <v>1899</v>
      </c>
      <c r="D105" s="2">
        <v>0.01</v>
      </c>
      <c r="E105" s="1">
        <f t="shared" si="7"/>
        <v>24</v>
      </c>
      <c r="H105" t="str">
        <f t="shared" si="5"/>
        <v>Poor</v>
      </c>
      <c r="I105" t="str">
        <f t="shared" si="6"/>
        <v>Low Discount</v>
      </c>
    </row>
    <row r="106" spans="1:9" x14ac:dyDescent="0.3">
      <c r="A106" t="s">
        <v>107</v>
      </c>
      <c r="B106" s="1">
        <v>198</v>
      </c>
      <c r="C106" s="1">
        <v>260</v>
      </c>
      <c r="D106" s="2">
        <v>0.24</v>
      </c>
      <c r="E106" s="1">
        <f t="shared" si="7"/>
        <v>62</v>
      </c>
      <c r="H106" t="str">
        <f t="shared" si="5"/>
        <v>Poor</v>
      </c>
      <c r="I106" t="str">
        <f t="shared" si="6"/>
        <v>Low Discount</v>
      </c>
    </row>
    <row r="107" spans="1:9" x14ac:dyDescent="0.3">
      <c r="A107" t="s">
        <v>108</v>
      </c>
      <c r="B107" s="1">
        <v>1150</v>
      </c>
      <c r="C107" s="1">
        <v>1737</v>
      </c>
      <c r="D107" s="2">
        <v>0.34</v>
      </c>
      <c r="E107" s="1">
        <f t="shared" si="7"/>
        <v>587</v>
      </c>
      <c r="H107" t="str">
        <f t="shared" si="5"/>
        <v>Poor</v>
      </c>
      <c r="I107" t="str">
        <f t="shared" si="6"/>
        <v>Low Discount</v>
      </c>
    </row>
    <row r="108" spans="1:9" x14ac:dyDescent="0.3">
      <c r="A108" t="s">
        <v>109</v>
      </c>
      <c r="B108" s="1">
        <v>1190</v>
      </c>
      <c r="C108" s="1">
        <v>1810</v>
      </c>
      <c r="D108" s="2">
        <v>0.34</v>
      </c>
      <c r="E108" s="1">
        <f t="shared" si="7"/>
        <v>620</v>
      </c>
      <c r="H108" t="str">
        <f t="shared" si="5"/>
        <v>Poor</v>
      </c>
      <c r="I108" t="str">
        <f t="shared" si="6"/>
        <v>Low Discount</v>
      </c>
    </row>
    <row r="109" spans="1:9" x14ac:dyDescent="0.3">
      <c r="A109" t="s">
        <v>110</v>
      </c>
      <c r="B109" s="1">
        <v>1658</v>
      </c>
      <c r="C109" s="1">
        <v>1699</v>
      </c>
      <c r="D109" s="2">
        <v>0.02</v>
      </c>
      <c r="E109" s="1">
        <f t="shared" si="7"/>
        <v>41</v>
      </c>
      <c r="H109" t="str">
        <f t="shared" si="5"/>
        <v>Poor</v>
      </c>
      <c r="I109" t="str">
        <f t="shared" si="6"/>
        <v>Low Discount</v>
      </c>
    </row>
    <row r="110" spans="1:9" x14ac:dyDescent="0.3">
      <c r="A110" t="s">
        <v>111</v>
      </c>
      <c r="B110" s="1">
        <v>1768</v>
      </c>
      <c r="C110" s="1">
        <v>1799</v>
      </c>
      <c r="D110" s="2">
        <v>0.02</v>
      </c>
      <c r="E110" s="1">
        <f t="shared" si="7"/>
        <v>31</v>
      </c>
      <c r="H110" t="str">
        <f t="shared" si="5"/>
        <v>Poor</v>
      </c>
      <c r="I110" t="str">
        <f t="shared" si="6"/>
        <v>Low Discount</v>
      </c>
    </row>
    <row r="111" spans="1:9" x14ac:dyDescent="0.3">
      <c r="A111" t="s">
        <v>112</v>
      </c>
      <c r="B111" s="1">
        <v>199</v>
      </c>
      <c r="C111" s="1">
        <v>553</v>
      </c>
      <c r="D111" s="2">
        <v>0.64</v>
      </c>
      <c r="E111" s="1">
        <f t="shared" si="7"/>
        <v>354</v>
      </c>
      <c r="H111" t="str">
        <f t="shared" si="5"/>
        <v>Poor</v>
      </c>
      <c r="I111" t="str">
        <f t="shared" si="6"/>
        <v>High Discount</v>
      </c>
    </row>
    <row r="112" spans="1:9" x14ac:dyDescent="0.3">
      <c r="A112" t="s">
        <v>113</v>
      </c>
      <c r="B112" s="1">
        <v>450</v>
      </c>
      <c r="C112" s="1">
        <v>900</v>
      </c>
      <c r="D112" s="2">
        <v>0.5</v>
      </c>
      <c r="E112" s="1">
        <f t="shared" si="7"/>
        <v>450</v>
      </c>
      <c r="F112">
        <v>-1</v>
      </c>
      <c r="G112" s="1">
        <v>2</v>
      </c>
      <c r="H112" t="str">
        <f t="shared" si="5"/>
        <v>Poor</v>
      </c>
      <c r="I112" t="str">
        <f t="shared" si="6"/>
        <v>High Discount</v>
      </c>
    </row>
    <row r="113" spans="1:9" x14ac:dyDescent="0.3">
      <c r="A113" t="s">
        <v>114</v>
      </c>
      <c r="B113" s="1">
        <v>169</v>
      </c>
      <c r="C113" s="1">
        <v>320</v>
      </c>
      <c r="D113" s="2">
        <v>0.47</v>
      </c>
      <c r="E113" s="1">
        <f t="shared" si="7"/>
        <v>151</v>
      </c>
      <c r="H113" t="str">
        <f t="shared" si="5"/>
        <v>Poor</v>
      </c>
      <c r="I113" t="str">
        <f t="shared" si="6"/>
        <v>High Discount</v>
      </c>
    </row>
    <row r="114" spans="1:9" x14ac:dyDescent="0.3">
      <c r="A114">
        <f>COUNTA(A2:A113)</f>
        <v>112</v>
      </c>
      <c r="B114" s="1">
        <f>AVERAGE(B2:B113)</f>
        <v>1172.4285714285713</v>
      </c>
      <c r="C114" s="1">
        <f>AVERAGE(C2:C113)</f>
        <v>1791.4642857142858</v>
      </c>
      <c r="D114" s="11">
        <f>AVERAGE(D2:D113)</f>
        <v>0.36776785714285715</v>
      </c>
      <c r="G114" s="3">
        <f>AVERAGE(G2:G113)</f>
        <v>3.8894736842105258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C77C3-5E38-441A-8409-8FE88124D3DB}">
  <dimension ref="A3:D471"/>
  <sheetViews>
    <sheetView topLeftCell="A443" workbookViewId="0">
      <selection activeCell="A468" sqref="A468:D470"/>
    </sheetView>
  </sheetViews>
  <sheetFormatPr defaultRowHeight="14.4" x14ac:dyDescent="0.3"/>
  <cols>
    <col min="1" max="1" width="95.6640625" bestFit="1" customWidth="1"/>
    <col min="2" max="2" width="16.6640625" bestFit="1" customWidth="1"/>
    <col min="3" max="3" width="19" bestFit="1" customWidth="1"/>
    <col min="4" max="4" width="14.33203125" bestFit="1" customWidth="1"/>
    <col min="5" max="5" width="31.109375" bestFit="1" customWidth="1"/>
    <col min="6" max="6" width="30.88671875" bestFit="1" customWidth="1"/>
    <col min="7" max="7" width="62.109375" bestFit="1" customWidth="1"/>
    <col min="8" max="8" width="65.44140625" bestFit="1" customWidth="1"/>
    <col min="9" max="9" width="34.33203125" bestFit="1" customWidth="1"/>
    <col min="10" max="10" width="48" bestFit="1" customWidth="1"/>
    <col min="11" max="11" width="42.44140625" bestFit="1" customWidth="1"/>
    <col min="12" max="12" width="70.5546875" bestFit="1" customWidth="1"/>
    <col min="13" max="13" width="64.88671875" bestFit="1" customWidth="1"/>
    <col min="14" max="14" width="66.5546875" bestFit="1" customWidth="1"/>
    <col min="15" max="15" width="52.88671875" bestFit="1" customWidth="1"/>
    <col min="16" max="16" width="39.33203125" bestFit="1" customWidth="1"/>
    <col min="17" max="17" width="61.44140625" bestFit="1" customWidth="1"/>
    <col min="18" max="18" width="71.109375" bestFit="1" customWidth="1"/>
    <col min="19" max="19" width="56.6640625" bestFit="1" customWidth="1"/>
    <col min="20" max="20" width="48.6640625" bestFit="1" customWidth="1"/>
    <col min="21" max="21" width="40.44140625" bestFit="1" customWidth="1"/>
    <col min="22" max="22" width="50.109375" bestFit="1" customWidth="1"/>
    <col min="23" max="23" width="45.109375" bestFit="1" customWidth="1"/>
    <col min="24" max="24" width="37" bestFit="1" customWidth="1"/>
    <col min="25" max="25" width="48.109375" bestFit="1" customWidth="1"/>
    <col min="26" max="26" width="65" bestFit="1" customWidth="1"/>
    <col min="27" max="27" width="48.6640625" bestFit="1" customWidth="1"/>
    <col min="28" max="28" width="53.88671875" bestFit="1" customWidth="1"/>
    <col min="29" max="29" width="56.109375" bestFit="1" customWidth="1"/>
    <col min="30" max="30" width="56.44140625" bestFit="1" customWidth="1"/>
    <col min="31" max="31" width="96" bestFit="1" customWidth="1"/>
    <col min="32" max="32" width="53.5546875" bestFit="1" customWidth="1"/>
    <col min="33" max="33" width="49.33203125" bestFit="1" customWidth="1"/>
    <col min="34" max="34" width="58.33203125" bestFit="1" customWidth="1"/>
    <col min="35" max="35" width="60.6640625" bestFit="1" customWidth="1"/>
    <col min="36" max="36" width="65.5546875" bestFit="1" customWidth="1"/>
    <col min="37" max="37" width="54.33203125" bestFit="1" customWidth="1"/>
    <col min="38" max="38" width="29.44140625" bestFit="1" customWidth="1"/>
    <col min="39" max="39" width="63.33203125" bestFit="1" customWidth="1"/>
    <col min="40" max="40" width="51" bestFit="1" customWidth="1"/>
    <col min="41" max="41" width="56.33203125" bestFit="1" customWidth="1"/>
    <col min="42" max="42" width="52" bestFit="1" customWidth="1"/>
    <col min="43" max="43" width="56" bestFit="1" customWidth="1"/>
    <col min="44" max="44" width="56.5546875" bestFit="1" customWidth="1"/>
    <col min="45" max="45" width="49.109375" bestFit="1" customWidth="1"/>
    <col min="46" max="46" width="67.109375" bestFit="1" customWidth="1"/>
    <col min="47" max="47" width="53.44140625" bestFit="1" customWidth="1"/>
    <col min="48" max="48" width="35.5546875" bestFit="1" customWidth="1"/>
    <col min="49" max="49" width="24" bestFit="1" customWidth="1"/>
    <col min="50" max="50" width="56.109375" bestFit="1" customWidth="1"/>
    <col min="51" max="51" width="63" bestFit="1" customWidth="1"/>
    <col min="52" max="52" width="56.33203125" bestFit="1" customWidth="1"/>
    <col min="53" max="53" width="59.109375" bestFit="1" customWidth="1"/>
    <col min="54" max="54" width="51.5546875" bestFit="1" customWidth="1"/>
    <col min="55" max="55" width="32.44140625" bestFit="1" customWidth="1"/>
    <col min="56" max="56" width="69.88671875" bestFit="1" customWidth="1"/>
    <col min="57" max="57" width="55.6640625" bestFit="1" customWidth="1"/>
    <col min="58" max="58" width="53.44140625" bestFit="1" customWidth="1"/>
    <col min="59" max="59" width="70" bestFit="1" customWidth="1"/>
    <col min="60" max="60" width="72.5546875" bestFit="1" customWidth="1"/>
    <col min="61" max="61" width="37.44140625" bestFit="1" customWidth="1"/>
    <col min="62" max="62" width="38.5546875" bestFit="1" customWidth="1"/>
    <col min="63" max="63" width="27.88671875" bestFit="1" customWidth="1"/>
    <col min="64" max="64" width="74.33203125" bestFit="1" customWidth="1"/>
    <col min="65" max="65" width="33.33203125" bestFit="1" customWidth="1"/>
    <col min="66" max="66" width="56.88671875" bestFit="1" customWidth="1"/>
    <col min="67" max="67" width="67.5546875" bestFit="1" customWidth="1"/>
    <col min="68" max="68" width="49.6640625" bestFit="1" customWidth="1"/>
    <col min="69" max="69" width="42.44140625" bestFit="1" customWidth="1"/>
    <col min="70" max="70" width="47.44140625" bestFit="1" customWidth="1"/>
    <col min="71" max="71" width="40.44140625" bestFit="1" customWidth="1"/>
    <col min="72" max="72" width="35.109375" bestFit="1" customWidth="1"/>
    <col min="73" max="73" width="59.109375" bestFit="1" customWidth="1"/>
    <col min="74" max="74" width="70.6640625" bestFit="1" customWidth="1"/>
    <col min="75" max="75" width="74.6640625" bestFit="1" customWidth="1"/>
    <col min="76" max="76" width="32" bestFit="1" customWidth="1"/>
    <col min="77" max="77" width="59.44140625" bestFit="1" customWidth="1"/>
    <col min="78" max="78" width="57" bestFit="1" customWidth="1"/>
    <col min="79" max="79" width="73.109375" bestFit="1" customWidth="1"/>
    <col min="80" max="80" width="72.88671875" bestFit="1" customWidth="1"/>
    <col min="81" max="81" width="49.33203125" bestFit="1" customWidth="1"/>
    <col min="82" max="82" width="46.5546875" bestFit="1" customWidth="1"/>
    <col min="83" max="83" width="54.33203125" bestFit="1" customWidth="1"/>
    <col min="84" max="84" width="47.6640625" bestFit="1" customWidth="1"/>
    <col min="85" max="85" width="70.33203125" bestFit="1" customWidth="1"/>
    <col min="86" max="86" width="74.6640625" bestFit="1" customWidth="1"/>
    <col min="87" max="87" width="71.6640625" bestFit="1" customWidth="1"/>
    <col min="88" max="88" width="60.88671875" bestFit="1" customWidth="1"/>
    <col min="89" max="89" width="46.33203125" bestFit="1" customWidth="1"/>
    <col min="90" max="90" width="55.44140625" bestFit="1" customWidth="1"/>
    <col min="91" max="91" width="54" bestFit="1" customWidth="1"/>
    <col min="92" max="92" width="52.44140625" bestFit="1" customWidth="1"/>
    <col min="93" max="93" width="46" bestFit="1" customWidth="1"/>
    <col min="94" max="94" width="62" bestFit="1" customWidth="1"/>
    <col min="95" max="95" width="68.5546875" bestFit="1" customWidth="1"/>
    <col min="96" max="96" width="43.5546875" bestFit="1" customWidth="1"/>
    <col min="97" max="97" width="66.44140625" bestFit="1" customWidth="1"/>
    <col min="98" max="98" width="73.109375" bestFit="1" customWidth="1"/>
    <col min="99" max="99" width="56.33203125" bestFit="1" customWidth="1"/>
    <col min="100" max="100" width="76.88671875" bestFit="1" customWidth="1"/>
    <col min="101" max="101" width="55.33203125" bestFit="1" customWidth="1"/>
    <col min="102" max="102" width="69" bestFit="1" customWidth="1"/>
    <col min="103" max="103" width="78.5546875" bestFit="1" customWidth="1"/>
    <col min="104" max="104" width="30.6640625" bestFit="1" customWidth="1"/>
    <col min="105" max="105" width="79.44140625" bestFit="1" customWidth="1"/>
    <col min="106" max="106" width="40.88671875" bestFit="1" customWidth="1"/>
    <col min="107" max="107" width="61" bestFit="1" customWidth="1"/>
    <col min="108" max="108" width="46.5546875" bestFit="1" customWidth="1"/>
    <col min="109" max="109" width="53.5546875" bestFit="1" customWidth="1"/>
    <col min="110" max="110" width="62.33203125" bestFit="1" customWidth="1"/>
    <col min="111" max="111" width="7.33203125" bestFit="1" customWidth="1"/>
    <col min="112" max="112" width="11.33203125" bestFit="1" customWidth="1"/>
  </cols>
  <sheetData>
    <row r="3" spans="1:4" x14ac:dyDescent="0.3">
      <c r="A3" t="s">
        <v>136</v>
      </c>
      <c r="B3" t="s">
        <v>133</v>
      </c>
      <c r="C3" t="s">
        <v>134</v>
      </c>
      <c r="D3" t="s">
        <v>132</v>
      </c>
    </row>
    <row r="4" spans="1:4" x14ac:dyDescent="0.3">
      <c r="A4" s="10">
        <v>112</v>
      </c>
      <c r="B4" s="10">
        <v>3.8894736842105258</v>
      </c>
      <c r="C4" s="10">
        <v>0.36776785714285715</v>
      </c>
      <c r="D4" s="10">
        <v>-723</v>
      </c>
    </row>
    <row r="9" spans="1:4" x14ac:dyDescent="0.3">
      <c r="A9" t="s">
        <v>138</v>
      </c>
    </row>
    <row r="10" spans="1:4" x14ac:dyDescent="0.3">
      <c r="A10" s="8" t="s">
        <v>128</v>
      </c>
      <c r="B10" t="s">
        <v>132</v>
      </c>
      <c r="C10" t="s">
        <v>131</v>
      </c>
    </row>
    <row r="11" spans="1:4" x14ac:dyDescent="0.3">
      <c r="A11" s="9" t="s">
        <v>44</v>
      </c>
      <c r="B11" s="10">
        <v>-2</v>
      </c>
      <c r="C11" s="10">
        <v>0.38</v>
      </c>
    </row>
    <row r="12" spans="1:4" x14ac:dyDescent="0.3">
      <c r="A12" s="9" t="s">
        <v>17</v>
      </c>
      <c r="B12" s="10">
        <v>-39</v>
      </c>
      <c r="C12" s="10">
        <v>0.34</v>
      </c>
    </row>
    <row r="13" spans="1:4" x14ac:dyDescent="0.3">
      <c r="A13" s="9" t="s">
        <v>6</v>
      </c>
      <c r="B13" s="10">
        <v>-2</v>
      </c>
      <c r="C13" s="10">
        <v>0.38</v>
      </c>
    </row>
    <row r="14" spans="1:4" x14ac:dyDescent="0.3">
      <c r="A14" s="9" t="s">
        <v>33</v>
      </c>
      <c r="B14" s="10">
        <v>-13</v>
      </c>
      <c r="C14" s="10">
        <v>0.32</v>
      </c>
    </row>
    <row r="15" spans="1:4" x14ac:dyDescent="0.3">
      <c r="A15" s="9" t="s">
        <v>37</v>
      </c>
      <c r="B15" s="10">
        <v>-12</v>
      </c>
      <c r="C15" s="10">
        <v>0.34</v>
      </c>
    </row>
    <row r="16" spans="1:4" x14ac:dyDescent="0.3">
      <c r="A16" s="9" t="s">
        <v>67</v>
      </c>
      <c r="B16" s="10">
        <v>-69</v>
      </c>
      <c r="C16" s="10">
        <v>0.49</v>
      </c>
    </row>
    <row r="17" spans="1:3" x14ac:dyDescent="0.3">
      <c r="A17" s="9" t="s">
        <v>63</v>
      </c>
      <c r="B17" s="10"/>
      <c r="C17" s="10">
        <v>0.27</v>
      </c>
    </row>
    <row r="18" spans="1:3" x14ac:dyDescent="0.3">
      <c r="A18" s="9" t="s">
        <v>15</v>
      </c>
      <c r="B18" s="10">
        <v>-5</v>
      </c>
      <c r="C18" s="10">
        <v>0.45</v>
      </c>
    </row>
    <row r="19" spans="1:3" x14ac:dyDescent="0.3">
      <c r="A19" s="9" t="s">
        <v>12</v>
      </c>
      <c r="B19" s="10">
        <v>-55</v>
      </c>
      <c r="C19" s="10">
        <v>0.24</v>
      </c>
    </row>
    <row r="20" spans="1:3" x14ac:dyDescent="0.3">
      <c r="A20" s="9" t="s">
        <v>107</v>
      </c>
      <c r="B20" s="10"/>
      <c r="C20" s="10">
        <v>0.24</v>
      </c>
    </row>
    <row r="21" spans="1:3" x14ac:dyDescent="0.3">
      <c r="A21" s="9" t="s">
        <v>86</v>
      </c>
      <c r="B21" s="10"/>
      <c r="C21" s="10">
        <v>0.02</v>
      </c>
    </row>
    <row r="22" spans="1:3" x14ac:dyDescent="0.3">
      <c r="A22" s="9" t="s">
        <v>11</v>
      </c>
      <c r="B22" s="10">
        <v>-15</v>
      </c>
      <c r="C22" s="10">
        <v>0.09</v>
      </c>
    </row>
    <row r="23" spans="1:3" x14ac:dyDescent="0.3">
      <c r="A23" s="9" t="s">
        <v>106</v>
      </c>
      <c r="B23" s="10"/>
      <c r="C23" s="10">
        <v>0.01</v>
      </c>
    </row>
    <row r="24" spans="1:3" x14ac:dyDescent="0.3">
      <c r="A24" s="9" t="s">
        <v>97</v>
      </c>
      <c r="B24" s="10"/>
      <c r="C24" s="10">
        <v>0.5</v>
      </c>
    </row>
    <row r="25" spans="1:3" x14ac:dyDescent="0.3">
      <c r="A25" s="9" t="s">
        <v>53</v>
      </c>
      <c r="B25" s="10"/>
      <c r="C25" s="10">
        <v>0.38</v>
      </c>
    </row>
    <row r="26" spans="1:3" x14ac:dyDescent="0.3">
      <c r="A26" s="9" t="s">
        <v>79</v>
      </c>
      <c r="B26" s="10"/>
      <c r="C26" s="10">
        <v>0.47</v>
      </c>
    </row>
    <row r="27" spans="1:3" x14ac:dyDescent="0.3">
      <c r="A27" s="9" t="s">
        <v>72</v>
      </c>
      <c r="B27" s="10">
        <v>-5</v>
      </c>
      <c r="C27" s="10">
        <v>0.39</v>
      </c>
    </row>
    <row r="28" spans="1:3" x14ac:dyDescent="0.3">
      <c r="A28" s="9" t="s">
        <v>71</v>
      </c>
      <c r="B28" s="10">
        <v>-7</v>
      </c>
      <c r="C28" s="10">
        <v>0.5</v>
      </c>
    </row>
    <row r="29" spans="1:3" x14ac:dyDescent="0.3">
      <c r="A29" s="9" t="s">
        <v>25</v>
      </c>
      <c r="B29" s="10">
        <v>-44</v>
      </c>
      <c r="C29" s="10">
        <v>0.49</v>
      </c>
    </row>
    <row r="30" spans="1:3" x14ac:dyDescent="0.3">
      <c r="A30" s="9" t="s">
        <v>80</v>
      </c>
      <c r="B30" s="10"/>
      <c r="C30" s="10">
        <v>0.43</v>
      </c>
    </row>
    <row r="31" spans="1:3" x14ac:dyDescent="0.3">
      <c r="A31" s="9" t="s">
        <v>26</v>
      </c>
      <c r="B31" s="10">
        <v>-13</v>
      </c>
      <c r="C31" s="10">
        <v>0.53</v>
      </c>
    </row>
    <row r="32" spans="1:3" x14ac:dyDescent="0.3">
      <c r="A32" s="9" t="s">
        <v>100</v>
      </c>
      <c r="B32" s="10"/>
      <c r="C32" s="10">
        <v>0.49</v>
      </c>
    </row>
    <row r="33" spans="1:3" x14ac:dyDescent="0.3">
      <c r="A33" s="9" t="s">
        <v>18</v>
      </c>
      <c r="B33" s="10">
        <v>-12</v>
      </c>
      <c r="C33" s="10">
        <v>0.47</v>
      </c>
    </row>
    <row r="34" spans="1:3" x14ac:dyDescent="0.3">
      <c r="A34" s="9" t="s">
        <v>46</v>
      </c>
      <c r="B34" s="10"/>
      <c r="C34" s="10">
        <v>0.49</v>
      </c>
    </row>
    <row r="35" spans="1:3" x14ac:dyDescent="0.3">
      <c r="A35" s="9" t="s">
        <v>27</v>
      </c>
      <c r="B35" s="10"/>
      <c r="C35" s="10">
        <v>0.42</v>
      </c>
    </row>
    <row r="36" spans="1:3" x14ac:dyDescent="0.3">
      <c r="A36" s="9" t="s">
        <v>64</v>
      </c>
      <c r="B36" s="10">
        <v>-6</v>
      </c>
      <c r="C36" s="10">
        <v>0.13</v>
      </c>
    </row>
    <row r="37" spans="1:3" x14ac:dyDescent="0.3">
      <c r="A37" s="9" t="s">
        <v>34</v>
      </c>
      <c r="B37" s="10">
        <v>-20</v>
      </c>
      <c r="C37" s="10">
        <v>0.3</v>
      </c>
    </row>
    <row r="38" spans="1:3" x14ac:dyDescent="0.3">
      <c r="A38" s="9" t="s">
        <v>40</v>
      </c>
      <c r="B38" s="10">
        <v>-32</v>
      </c>
      <c r="C38" s="10">
        <v>0.27</v>
      </c>
    </row>
    <row r="39" spans="1:3" x14ac:dyDescent="0.3">
      <c r="A39" s="9" t="s">
        <v>39</v>
      </c>
      <c r="B39" s="10">
        <v>-20</v>
      </c>
      <c r="C39" s="10">
        <v>0.27</v>
      </c>
    </row>
    <row r="40" spans="1:3" x14ac:dyDescent="0.3">
      <c r="A40" s="9" t="s">
        <v>85</v>
      </c>
      <c r="B40" s="10"/>
      <c r="C40" s="10">
        <v>0.36</v>
      </c>
    </row>
    <row r="41" spans="1:3" x14ac:dyDescent="0.3">
      <c r="A41" s="9" t="s">
        <v>66</v>
      </c>
      <c r="B41" s="10">
        <v>-13</v>
      </c>
      <c r="C41" s="10">
        <v>0.55000000000000004</v>
      </c>
    </row>
    <row r="42" spans="1:3" x14ac:dyDescent="0.3">
      <c r="A42" s="9" t="s">
        <v>112</v>
      </c>
      <c r="B42" s="10"/>
      <c r="C42" s="10">
        <v>0.64</v>
      </c>
    </row>
    <row r="43" spans="1:3" x14ac:dyDescent="0.3">
      <c r="A43" s="9" t="s">
        <v>96</v>
      </c>
      <c r="B43" s="10"/>
      <c r="C43" s="10">
        <v>0.47</v>
      </c>
    </row>
    <row r="44" spans="1:3" x14ac:dyDescent="0.3">
      <c r="A44" s="9" t="s">
        <v>51</v>
      </c>
      <c r="B44" s="10"/>
      <c r="C44" s="10">
        <v>0.33</v>
      </c>
    </row>
    <row r="45" spans="1:3" x14ac:dyDescent="0.3">
      <c r="A45" s="9" t="s">
        <v>82</v>
      </c>
      <c r="B45" s="10"/>
      <c r="C45" s="10">
        <v>0.49</v>
      </c>
    </row>
    <row r="46" spans="1:3" x14ac:dyDescent="0.3">
      <c r="A46" s="9" t="s">
        <v>77</v>
      </c>
      <c r="B46" s="10">
        <v>-6</v>
      </c>
      <c r="C46" s="10">
        <v>0.47</v>
      </c>
    </row>
    <row r="47" spans="1:3" x14ac:dyDescent="0.3">
      <c r="A47" s="9" t="s">
        <v>103</v>
      </c>
      <c r="B47" s="10"/>
      <c r="C47" s="10">
        <v>0.42</v>
      </c>
    </row>
    <row r="48" spans="1:3" x14ac:dyDescent="0.3">
      <c r="A48" s="9" t="s">
        <v>105</v>
      </c>
      <c r="B48" s="10"/>
      <c r="C48" s="10">
        <v>0.41</v>
      </c>
    </row>
    <row r="49" spans="1:3" x14ac:dyDescent="0.3">
      <c r="A49" s="9" t="s">
        <v>73</v>
      </c>
      <c r="B49" s="10">
        <v>-17</v>
      </c>
      <c r="C49" s="10">
        <v>0.45</v>
      </c>
    </row>
    <row r="50" spans="1:3" x14ac:dyDescent="0.3">
      <c r="A50" s="9" t="s">
        <v>62</v>
      </c>
      <c r="B50" s="10"/>
      <c r="C50" s="10">
        <v>0.98</v>
      </c>
    </row>
    <row r="51" spans="1:3" x14ac:dyDescent="0.3">
      <c r="A51" s="9" t="s">
        <v>21</v>
      </c>
      <c r="B51" s="10">
        <v>-2</v>
      </c>
      <c r="C51" s="10">
        <v>0.51</v>
      </c>
    </row>
    <row r="52" spans="1:3" x14ac:dyDescent="0.3">
      <c r="A52" s="9" t="s">
        <v>70</v>
      </c>
      <c r="B52" s="10">
        <v>-6</v>
      </c>
      <c r="C52" s="10">
        <v>0.45</v>
      </c>
    </row>
    <row r="53" spans="1:3" x14ac:dyDescent="0.3">
      <c r="A53" s="9" t="s">
        <v>102</v>
      </c>
      <c r="B53" s="10"/>
      <c r="C53" s="10">
        <v>0.49</v>
      </c>
    </row>
    <row r="54" spans="1:3" x14ac:dyDescent="0.3">
      <c r="A54" s="9" t="s">
        <v>48</v>
      </c>
      <c r="B54" s="10"/>
      <c r="C54" s="10">
        <v>0.42</v>
      </c>
    </row>
    <row r="55" spans="1:3" x14ac:dyDescent="0.3">
      <c r="A55" s="9" t="s">
        <v>84</v>
      </c>
      <c r="B55" s="10">
        <v>-1</v>
      </c>
      <c r="C55" s="10">
        <v>0.49</v>
      </c>
    </row>
    <row r="56" spans="1:3" x14ac:dyDescent="0.3">
      <c r="A56" s="9" t="s">
        <v>114</v>
      </c>
      <c r="B56" s="10"/>
      <c r="C56" s="10">
        <v>0.47</v>
      </c>
    </row>
    <row r="57" spans="1:3" x14ac:dyDescent="0.3">
      <c r="A57" s="9" t="s">
        <v>55</v>
      </c>
      <c r="B57" s="10"/>
      <c r="C57" s="10">
        <v>0.5</v>
      </c>
    </row>
    <row r="58" spans="1:3" x14ac:dyDescent="0.3">
      <c r="A58" s="9" t="s">
        <v>52</v>
      </c>
      <c r="B58" s="10"/>
      <c r="C58" s="10">
        <v>0.49</v>
      </c>
    </row>
    <row r="59" spans="1:3" x14ac:dyDescent="0.3">
      <c r="A59" s="9" t="s">
        <v>89</v>
      </c>
      <c r="B59" s="10"/>
      <c r="C59" s="10">
        <v>0.49</v>
      </c>
    </row>
    <row r="60" spans="1:3" x14ac:dyDescent="0.3">
      <c r="A60" s="9" t="s">
        <v>109</v>
      </c>
      <c r="B60" s="10"/>
      <c r="C60" s="10">
        <v>0.34</v>
      </c>
    </row>
    <row r="61" spans="1:3" x14ac:dyDescent="0.3">
      <c r="A61" s="9" t="s">
        <v>50</v>
      </c>
      <c r="B61" s="10"/>
      <c r="C61" s="10">
        <v>0.5</v>
      </c>
    </row>
    <row r="62" spans="1:3" x14ac:dyDescent="0.3">
      <c r="A62" s="9" t="s">
        <v>61</v>
      </c>
      <c r="B62" s="10"/>
      <c r="C62" s="10">
        <v>0.48</v>
      </c>
    </row>
    <row r="63" spans="1:3" x14ac:dyDescent="0.3">
      <c r="A63" s="9" t="s">
        <v>42</v>
      </c>
      <c r="B63" s="10">
        <v>-2</v>
      </c>
      <c r="C63" s="10">
        <v>0.53</v>
      </c>
    </row>
    <row r="64" spans="1:3" x14ac:dyDescent="0.3">
      <c r="A64" s="9" t="s">
        <v>54</v>
      </c>
      <c r="B64" s="10"/>
      <c r="C64" s="10">
        <v>1.1000000000000001</v>
      </c>
    </row>
    <row r="65" spans="1:3" x14ac:dyDescent="0.3">
      <c r="A65" s="9" t="s">
        <v>81</v>
      </c>
      <c r="B65" s="10"/>
      <c r="C65" s="10">
        <v>0.04</v>
      </c>
    </row>
    <row r="66" spans="1:3" x14ac:dyDescent="0.3">
      <c r="A66" s="9" t="s">
        <v>59</v>
      </c>
      <c r="B66" s="10"/>
      <c r="C66" s="10">
        <v>0.41</v>
      </c>
    </row>
    <row r="67" spans="1:3" x14ac:dyDescent="0.3">
      <c r="A67" s="9" t="s">
        <v>13</v>
      </c>
      <c r="B67" s="10">
        <v>-2</v>
      </c>
      <c r="C67" s="10">
        <v>0.37</v>
      </c>
    </row>
    <row r="68" spans="1:3" x14ac:dyDescent="0.3">
      <c r="A68" s="9" t="s">
        <v>41</v>
      </c>
      <c r="B68" s="10">
        <v>-1</v>
      </c>
      <c r="C68" s="10">
        <v>0.4</v>
      </c>
    </row>
    <row r="69" spans="1:3" x14ac:dyDescent="0.3">
      <c r="A69" s="9" t="s">
        <v>78</v>
      </c>
      <c r="B69" s="10">
        <v>-7</v>
      </c>
      <c r="C69" s="10">
        <v>0.47</v>
      </c>
    </row>
    <row r="70" spans="1:3" x14ac:dyDescent="0.3">
      <c r="A70" s="9" t="s">
        <v>31</v>
      </c>
      <c r="B70" s="10">
        <v>-49</v>
      </c>
      <c r="C70" s="10">
        <v>0.35</v>
      </c>
    </row>
    <row r="71" spans="1:3" x14ac:dyDescent="0.3">
      <c r="A71" s="9" t="s">
        <v>36</v>
      </c>
      <c r="B71" s="10">
        <v>-9</v>
      </c>
      <c r="C71" s="10">
        <v>0.52</v>
      </c>
    </row>
    <row r="72" spans="1:3" x14ac:dyDescent="0.3">
      <c r="A72" s="9" t="s">
        <v>29</v>
      </c>
      <c r="B72" s="10">
        <v>-14</v>
      </c>
      <c r="C72" s="10">
        <v>0.23</v>
      </c>
    </row>
    <row r="73" spans="1:3" x14ac:dyDescent="0.3">
      <c r="A73" s="9" t="s">
        <v>16</v>
      </c>
      <c r="B73" s="10">
        <v>-12</v>
      </c>
      <c r="C73" s="10">
        <v>0.2</v>
      </c>
    </row>
    <row r="74" spans="1:3" x14ac:dyDescent="0.3">
      <c r="A74" s="9" t="s">
        <v>87</v>
      </c>
      <c r="B74" s="10">
        <v>-1</v>
      </c>
      <c r="C74" s="10">
        <v>0.49</v>
      </c>
    </row>
    <row r="75" spans="1:3" x14ac:dyDescent="0.3">
      <c r="A75" s="9" t="s">
        <v>68</v>
      </c>
      <c r="B75" s="10">
        <v>-15</v>
      </c>
      <c r="C75" s="10">
        <v>0.52</v>
      </c>
    </row>
    <row r="76" spans="1:3" x14ac:dyDescent="0.3">
      <c r="A76" s="9" t="s">
        <v>104</v>
      </c>
      <c r="B76" s="10">
        <v>-1</v>
      </c>
      <c r="C76" s="10">
        <v>0.21</v>
      </c>
    </row>
    <row r="77" spans="1:3" x14ac:dyDescent="0.3">
      <c r="A77" s="9" t="s">
        <v>74</v>
      </c>
      <c r="B77" s="10">
        <v>-5</v>
      </c>
      <c r="C77" s="10">
        <v>0.28999999999999998</v>
      </c>
    </row>
    <row r="78" spans="1:3" x14ac:dyDescent="0.3">
      <c r="A78" s="9" t="s">
        <v>30</v>
      </c>
      <c r="B78" s="10">
        <v>-7</v>
      </c>
      <c r="C78" s="10">
        <v>0.54</v>
      </c>
    </row>
    <row r="79" spans="1:3" x14ac:dyDescent="0.3">
      <c r="A79" s="9" t="s">
        <v>23</v>
      </c>
      <c r="B79" s="10">
        <v>-3</v>
      </c>
      <c r="C79" s="10">
        <v>0.49</v>
      </c>
    </row>
    <row r="80" spans="1:3" x14ac:dyDescent="0.3">
      <c r="A80" s="9" t="s">
        <v>19</v>
      </c>
      <c r="B80" s="10">
        <v>-6</v>
      </c>
      <c r="C80" s="10">
        <v>0.42</v>
      </c>
    </row>
    <row r="81" spans="1:3" x14ac:dyDescent="0.3">
      <c r="A81" s="9" t="s">
        <v>14</v>
      </c>
      <c r="B81" s="10">
        <v>-5</v>
      </c>
      <c r="C81" s="10">
        <v>0.55000000000000004</v>
      </c>
    </row>
    <row r="82" spans="1:3" x14ac:dyDescent="0.3">
      <c r="A82" s="9" t="s">
        <v>45</v>
      </c>
      <c r="B82" s="10"/>
      <c r="C82" s="10">
        <v>0.38</v>
      </c>
    </row>
    <row r="83" spans="1:3" x14ac:dyDescent="0.3">
      <c r="A83" s="9" t="s">
        <v>38</v>
      </c>
      <c r="B83" s="10">
        <v>-9</v>
      </c>
      <c r="C83" s="10">
        <v>0.48</v>
      </c>
    </row>
    <row r="84" spans="1:3" x14ac:dyDescent="0.3">
      <c r="A84" s="9" t="s">
        <v>28</v>
      </c>
      <c r="B84" s="10">
        <v>-6</v>
      </c>
      <c r="C84" s="10">
        <v>0.35</v>
      </c>
    </row>
    <row r="85" spans="1:3" x14ac:dyDescent="0.3">
      <c r="A85" s="9" t="s">
        <v>108</v>
      </c>
      <c r="B85" s="10"/>
      <c r="C85" s="10">
        <v>0.34</v>
      </c>
    </row>
    <row r="86" spans="1:3" x14ac:dyDescent="0.3">
      <c r="A86" s="9" t="s">
        <v>24</v>
      </c>
      <c r="B86" s="10">
        <v>-5</v>
      </c>
      <c r="C86" s="10">
        <v>0.19</v>
      </c>
    </row>
    <row r="87" spans="1:3" x14ac:dyDescent="0.3">
      <c r="A87" s="9" t="s">
        <v>83</v>
      </c>
      <c r="B87" s="10">
        <v>-1</v>
      </c>
      <c r="C87" s="10">
        <v>0.46</v>
      </c>
    </row>
    <row r="88" spans="1:3" x14ac:dyDescent="0.3">
      <c r="A88" s="9" t="s">
        <v>7</v>
      </c>
      <c r="B88" s="10">
        <v>-14</v>
      </c>
      <c r="C88" s="10">
        <v>0.47</v>
      </c>
    </row>
    <row r="89" spans="1:3" x14ac:dyDescent="0.3">
      <c r="A89" s="9" t="s">
        <v>101</v>
      </c>
      <c r="B89" s="10"/>
      <c r="C89" s="10">
        <v>0.04</v>
      </c>
    </row>
    <row r="90" spans="1:3" x14ac:dyDescent="0.3">
      <c r="A90" s="9" t="s">
        <v>47</v>
      </c>
      <c r="B90" s="10"/>
      <c r="C90" s="10">
        <v>0.5</v>
      </c>
    </row>
    <row r="91" spans="1:3" x14ac:dyDescent="0.3">
      <c r="A91" s="9" t="s">
        <v>20</v>
      </c>
      <c r="B91" s="10">
        <v>-9</v>
      </c>
      <c r="C91" s="10">
        <v>0.33</v>
      </c>
    </row>
    <row r="92" spans="1:3" x14ac:dyDescent="0.3">
      <c r="A92" s="9" t="s">
        <v>92</v>
      </c>
      <c r="B92" s="10"/>
      <c r="C92" s="10">
        <v>0.43</v>
      </c>
    </row>
    <row r="93" spans="1:3" x14ac:dyDescent="0.3">
      <c r="A93" s="9" t="s">
        <v>35</v>
      </c>
      <c r="B93" s="10"/>
      <c r="C93" s="10">
        <v>0.46</v>
      </c>
    </row>
    <row r="94" spans="1:3" x14ac:dyDescent="0.3">
      <c r="A94" s="9" t="s">
        <v>58</v>
      </c>
      <c r="B94" s="10"/>
      <c r="C94" s="10">
        <v>0.03</v>
      </c>
    </row>
    <row r="95" spans="1:3" x14ac:dyDescent="0.3">
      <c r="A95" s="9" t="s">
        <v>65</v>
      </c>
      <c r="B95" s="10">
        <v>-10</v>
      </c>
      <c r="C95" s="10">
        <v>0.54</v>
      </c>
    </row>
    <row r="96" spans="1:3" x14ac:dyDescent="0.3">
      <c r="A96" s="9" t="s">
        <v>88</v>
      </c>
      <c r="B96" s="10"/>
      <c r="C96" s="10">
        <v>0.14000000000000001</v>
      </c>
    </row>
    <row r="97" spans="1:3" x14ac:dyDescent="0.3">
      <c r="A97" s="9" t="s">
        <v>90</v>
      </c>
      <c r="B97" s="10"/>
      <c r="C97" s="10">
        <v>0.11</v>
      </c>
    </row>
    <row r="98" spans="1:3" x14ac:dyDescent="0.3">
      <c r="A98" s="9" t="s">
        <v>22</v>
      </c>
      <c r="B98" s="10">
        <v>-2</v>
      </c>
      <c r="C98" s="10">
        <v>0.46</v>
      </c>
    </row>
    <row r="99" spans="1:3" x14ac:dyDescent="0.3">
      <c r="A99" s="9" t="s">
        <v>56</v>
      </c>
      <c r="B99" s="10"/>
      <c r="C99" s="10">
        <v>0.02</v>
      </c>
    </row>
    <row r="100" spans="1:3" x14ac:dyDescent="0.3">
      <c r="A100" s="9" t="s">
        <v>57</v>
      </c>
      <c r="B100" s="10"/>
      <c r="C100" s="10">
        <v>0.22</v>
      </c>
    </row>
    <row r="101" spans="1:3" x14ac:dyDescent="0.3">
      <c r="A101" s="9" t="s">
        <v>10</v>
      </c>
      <c r="B101" s="10">
        <v>-5</v>
      </c>
      <c r="C101" s="10">
        <v>0.26</v>
      </c>
    </row>
    <row r="102" spans="1:3" x14ac:dyDescent="0.3">
      <c r="A102" s="9" t="s">
        <v>8</v>
      </c>
      <c r="B102" s="10">
        <v>-24</v>
      </c>
      <c r="C102" s="10">
        <v>0.25</v>
      </c>
    </row>
    <row r="103" spans="1:3" x14ac:dyDescent="0.3">
      <c r="A103" s="9" t="s">
        <v>99</v>
      </c>
      <c r="B103" s="10"/>
      <c r="C103" s="10">
        <v>0.02</v>
      </c>
    </row>
    <row r="104" spans="1:3" x14ac:dyDescent="0.3">
      <c r="A104" s="9" t="s">
        <v>32</v>
      </c>
      <c r="B104" s="10">
        <v>-12</v>
      </c>
      <c r="C104" s="10">
        <v>0.18</v>
      </c>
    </row>
    <row r="105" spans="1:3" x14ac:dyDescent="0.3">
      <c r="A105" s="9" t="s">
        <v>94</v>
      </c>
      <c r="B105" s="10"/>
      <c r="C105" s="10">
        <v>0.48</v>
      </c>
    </row>
    <row r="106" spans="1:3" x14ac:dyDescent="0.3">
      <c r="A106" s="9" t="s">
        <v>43</v>
      </c>
      <c r="B106" s="10">
        <v>-36</v>
      </c>
      <c r="C106" s="10">
        <v>0.41</v>
      </c>
    </row>
    <row r="107" spans="1:3" x14ac:dyDescent="0.3">
      <c r="A107" s="9" t="s">
        <v>95</v>
      </c>
      <c r="B107" s="10"/>
      <c r="C107" s="10">
        <v>0.48</v>
      </c>
    </row>
    <row r="108" spans="1:3" x14ac:dyDescent="0.3">
      <c r="A108" s="9" t="s">
        <v>49</v>
      </c>
      <c r="B108" s="10"/>
      <c r="C108" s="10">
        <v>0.02</v>
      </c>
    </row>
    <row r="109" spans="1:3" x14ac:dyDescent="0.3">
      <c r="A109" s="9" t="s">
        <v>110</v>
      </c>
      <c r="B109" s="10"/>
      <c r="C109" s="10">
        <v>0.02</v>
      </c>
    </row>
    <row r="110" spans="1:3" x14ac:dyDescent="0.3">
      <c r="A110" s="9" t="s">
        <v>60</v>
      </c>
      <c r="B110" s="10"/>
      <c r="C110" s="10">
        <v>1</v>
      </c>
    </row>
    <row r="111" spans="1:3" x14ac:dyDescent="0.3">
      <c r="A111" s="9" t="s">
        <v>111</v>
      </c>
      <c r="B111" s="10"/>
      <c r="C111" s="10">
        <v>0.02</v>
      </c>
    </row>
    <row r="112" spans="1:3" x14ac:dyDescent="0.3">
      <c r="A112" s="9" t="s">
        <v>69</v>
      </c>
      <c r="B112" s="10">
        <v>-16</v>
      </c>
      <c r="C112" s="10">
        <v>0.22</v>
      </c>
    </row>
    <row r="113" spans="1:4" x14ac:dyDescent="0.3">
      <c r="A113" s="9" t="s">
        <v>93</v>
      </c>
      <c r="B113" s="10"/>
      <c r="C113" s="10">
        <v>0.5</v>
      </c>
    </row>
    <row r="114" spans="1:4" x14ac:dyDescent="0.3">
      <c r="A114" s="9" t="s">
        <v>98</v>
      </c>
      <c r="B114" s="10"/>
      <c r="C114" s="10">
        <v>0.08</v>
      </c>
    </row>
    <row r="115" spans="1:4" x14ac:dyDescent="0.3">
      <c r="A115" s="9" t="s">
        <v>113</v>
      </c>
      <c r="B115" s="10">
        <v>-1</v>
      </c>
      <c r="C115" s="10">
        <v>0.5</v>
      </c>
    </row>
    <row r="116" spans="1:4" x14ac:dyDescent="0.3">
      <c r="A116" s="9" t="s">
        <v>91</v>
      </c>
      <c r="B116" s="10"/>
      <c r="C116" s="10">
        <v>0.14000000000000001</v>
      </c>
    </row>
    <row r="117" spans="1:4" x14ac:dyDescent="0.3">
      <c r="A117" s="9" t="s">
        <v>75</v>
      </c>
      <c r="B117" s="10">
        <v>-6</v>
      </c>
      <c r="C117" s="10">
        <v>0.43</v>
      </c>
    </row>
    <row r="118" spans="1:4" x14ac:dyDescent="0.3">
      <c r="A118" s="9" t="s">
        <v>9</v>
      </c>
      <c r="B118" s="10">
        <v>-7</v>
      </c>
      <c r="C118" s="10">
        <v>0.37</v>
      </c>
    </row>
    <row r="119" spans="1:4" x14ac:dyDescent="0.3">
      <c r="A119" s="9" t="s">
        <v>76</v>
      </c>
      <c r="B119" s="10">
        <v>-5</v>
      </c>
      <c r="C119" s="10">
        <v>0.43</v>
      </c>
    </row>
    <row r="120" spans="1:4" x14ac:dyDescent="0.3">
      <c r="A120" s="9" t="s">
        <v>129</v>
      </c>
      <c r="B120" s="10">
        <v>-723</v>
      </c>
      <c r="C120" s="10">
        <v>41.19</v>
      </c>
    </row>
    <row r="124" spans="1:4" x14ac:dyDescent="0.3">
      <c r="A124" s="8" t="s">
        <v>128</v>
      </c>
      <c r="B124" t="s">
        <v>133</v>
      </c>
      <c r="C124" t="s">
        <v>134</v>
      </c>
      <c r="D124" t="s">
        <v>132</v>
      </c>
    </row>
    <row r="125" spans="1:4" x14ac:dyDescent="0.3">
      <c r="A125" s="9" t="s">
        <v>42</v>
      </c>
      <c r="B125" s="10">
        <v>5</v>
      </c>
      <c r="C125" s="10">
        <v>0.53</v>
      </c>
      <c r="D125" s="10">
        <v>-2</v>
      </c>
    </row>
    <row r="126" spans="1:4" x14ac:dyDescent="0.3">
      <c r="A126" s="9" t="s">
        <v>23</v>
      </c>
      <c r="B126" s="10">
        <v>5</v>
      </c>
      <c r="C126" s="10">
        <v>0.49</v>
      </c>
      <c r="D126" s="10">
        <v>-3</v>
      </c>
    </row>
    <row r="127" spans="1:4" x14ac:dyDescent="0.3">
      <c r="A127" s="9" t="s">
        <v>104</v>
      </c>
      <c r="B127" s="10">
        <v>5</v>
      </c>
      <c r="C127" s="10">
        <v>0.21</v>
      </c>
      <c r="D127" s="10">
        <v>-1</v>
      </c>
    </row>
    <row r="128" spans="1:4" x14ac:dyDescent="0.3">
      <c r="A128" s="9" t="s">
        <v>21</v>
      </c>
      <c r="B128" s="10">
        <v>5</v>
      </c>
      <c r="C128" s="10">
        <v>0.51</v>
      </c>
      <c r="D128" s="10">
        <v>-2</v>
      </c>
    </row>
    <row r="129" spans="1:4" x14ac:dyDescent="0.3">
      <c r="A129" s="9" t="s">
        <v>22</v>
      </c>
      <c r="B129" s="10">
        <v>5</v>
      </c>
      <c r="C129" s="10">
        <v>0.46</v>
      </c>
      <c r="D129" s="10">
        <v>-2</v>
      </c>
    </row>
    <row r="130" spans="1:4" x14ac:dyDescent="0.3">
      <c r="A130" s="9" t="s">
        <v>84</v>
      </c>
      <c r="B130" s="10">
        <v>5</v>
      </c>
      <c r="C130" s="10">
        <v>0.49</v>
      </c>
      <c r="D130" s="10">
        <v>-1</v>
      </c>
    </row>
    <row r="131" spans="1:4" x14ac:dyDescent="0.3">
      <c r="A131" s="9" t="s">
        <v>41</v>
      </c>
      <c r="B131" s="10">
        <v>5</v>
      </c>
      <c r="C131" s="10">
        <v>0.4</v>
      </c>
      <c r="D131" s="10">
        <v>-1</v>
      </c>
    </row>
    <row r="132" spans="1:4" x14ac:dyDescent="0.3">
      <c r="A132" s="9" t="s">
        <v>18</v>
      </c>
      <c r="B132" s="10">
        <v>4.8</v>
      </c>
      <c r="C132" s="10">
        <v>0.47</v>
      </c>
      <c r="D132" s="10">
        <v>-12</v>
      </c>
    </row>
    <row r="133" spans="1:4" x14ac:dyDescent="0.3">
      <c r="A133" s="9" t="s">
        <v>10</v>
      </c>
      <c r="B133" s="10">
        <v>4.8</v>
      </c>
      <c r="C133" s="10">
        <v>0.26</v>
      </c>
      <c r="D133" s="10">
        <v>-5</v>
      </c>
    </row>
    <row r="134" spans="1:4" x14ac:dyDescent="0.3">
      <c r="A134" s="9" t="s">
        <v>14</v>
      </c>
      <c r="B134" s="10">
        <v>4.8</v>
      </c>
      <c r="C134" s="10">
        <v>0.55000000000000004</v>
      </c>
      <c r="D134" s="10">
        <v>-5</v>
      </c>
    </row>
    <row r="135" spans="1:4" x14ac:dyDescent="0.3">
      <c r="A135" s="9" t="s">
        <v>37</v>
      </c>
      <c r="B135" s="10">
        <v>4.7</v>
      </c>
      <c r="C135" s="10">
        <v>0.34</v>
      </c>
      <c r="D135" s="10">
        <v>-12</v>
      </c>
    </row>
    <row r="136" spans="1:4" x14ac:dyDescent="0.3">
      <c r="A136" s="9" t="s">
        <v>17</v>
      </c>
      <c r="B136" s="10">
        <v>4.7</v>
      </c>
      <c r="C136" s="10">
        <v>0.34</v>
      </c>
      <c r="D136" s="10">
        <v>-39</v>
      </c>
    </row>
    <row r="137" spans="1:4" x14ac:dyDescent="0.3">
      <c r="A137" s="9" t="s">
        <v>39</v>
      </c>
      <c r="B137" s="10">
        <v>4.7</v>
      </c>
      <c r="C137" s="10">
        <v>0.27</v>
      </c>
      <c r="D137" s="10">
        <v>-20</v>
      </c>
    </row>
    <row r="138" spans="1:4" x14ac:dyDescent="0.3">
      <c r="A138" s="9" t="s">
        <v>9</v>
      </c>
      <c r="B138" s="10">
        <v>4.7</v>
      </c>
      <c r="C138" s="10">
        <v>0.37</v>
      </c>
      <c r="D138" s="10">
        <v>-7</v>
      </c>
    </row>
    <row r="139" spans="1:4" x14ac:dyDescent="0.3">
      <c r="A139" s="9" t="s">
        <v>12</v>
      </c>
      <c r="B139" s="10">
        <v>4.5999999999999996</v>
      </c>
      <c r="C139" s="10">
        <v>0.24</v>
      </c>
      <c r="D139" s="10">
        <v>-55</v>
      </c>
    </row>
    <row r="140" spans="1:4" x14ac:dyDescent="0.3">
      <c r="A140" s="9" t="s">
        <v>24</v>
      </c>
      <c r="B140" s="10">
        <v>4.5999999999999996</v>
      </c>
      <c r="C140" s="10">
        <v>0.19</v>
      </c>
      <c r="D140" s="10">
        <v>-5</v>
      </c>
    </row>
    <row r="141" spans="1:4" x14ac:dyDescent="0.3">
      <c r="A141" s="9" t="s">
        <v>25</v>
      </c>
      <c r="B141" s="10">
        <v>4.5999999999999996</v>
      </c>
      <c r="C141" s="10">
        <v>0.49</v>
      </c>
      <c r="D141" s="10">
        <v>-44</v>
      </c>
    </row>
    <row r="142" spans="1:4" x14ac:dyDescent="0.3">
      <c r="A142" s="9" t="s">
        <v>8</v>
      </c>
      <c r="B142" s="10">
        <v>4.5999999999999996</v>
      </c>
      <c r="C142" s="10">
        <v>0.25</v>
      </c>
      <c r="D142" s="10">
        <v>-24</v>
      </c>
    </row>
    <row r="143" spans="1:4" x14ac:dyDescent="0.3">
      <c r="A143" s="9" t="s">
        <v>31</v>
      </c>
      <c r="B143" s="10">
        <v>4.5999999999999996</v>
      </c>
      <c r="C143" s="10">
        <v>0.35</v>
      </c>
      <c r="D143" s="10">
        <v>-49</v>
      </c>
    </row>
    <row r="144" spans="1:4" x14ac:dyDescent="0.3">
      <c r="A144" s="9" t="s">
        <v>40</v>
      </c>
      <c r="B144" s="10">
        <v>4.5</v>
      </c>
      <c r="C144" s="10">
        <v>0.27</v>
      </c>
      <c r="D144" s="10">
        <v>-32</v>
      </c>
    </row>
    <row r="145" spans="1:4" x14ac:dyDescent="0.3">
      <c r="A145" s="9" t="s">
        <v>19</v>
      </c>
      <c r="B145" s="10">
        <v>4.5</v>
      </c>
      <c r="C145" s="10">
        <v>0.42</v>
      </c>
      <c r="D145" s="10">
        <v>-6</v>
      </c>
    </row>
    <row r="146" spans="1:4" x14ac:dyDescent="0.3">
      <c r="A146" s="9" t="s">
        <v>44</v>
      </c>
      <c r="B146" s="10">
        <v>4.5</v>
      </c>
      <c r="C146" s="10">
        <v>0.38</v>
      </c>
      <c r="D146" s="10">
        <v>-2</v>
      </c>
    </row>
    <row r="147" spans="1:4" x14ac:dyDescent="0.3">
      <c r="A147" s="9" t="s">
        <v>6</v>
      </c>
      <c r="B147" s="10">
        <v>4.5</v>
      </c>
      <c r="C147" s="10">
        <v>0.38</v>
      </c>
      <c r="D147" s="10">
        <v>-2</v>
      </c>
    </row>
    <row r="148" spans="1:4" x14ac:dyDescent="0.3">
      <c r="A148" s="9" t="s">
        <v>29</v>
      </c>
      <c r="B148" s="10">
        <v>4.4000000000000004</v>
      </c>
      <c r="C148" s="10">
        <v>0.23</v>
      </c>
      <c r="D148" s="10">
        <v>-14</v>
      </c>
    </row>
    <row r="149" spans="1:4" x14ac:dyDescent="0.3">
      <c r="A149" s="9" t="s">
        <v>38</v>
      </c>
      <c r="B149" s="10">
        <v>4.3</v>
      </c>
      <c r="C149" s="10">
        <v>0.48</v>
      </c>
      <c r="D149" s="10">
        <v>-9</v>
      </c>
    </row>
    <row r="150" spans="1:4" x14ac:dyDescent="0.3">
      <c r="A150" s="9" t="s">
        <v>43</v>
      </c>
      <c r="B150" s="10">
        <v>4.3</v>
      </c>
      <c r="C150" s="10">
        <v>0.41</v>
      </c>
      <c r="D150" s="10">
        <v>-36</v>
      </c>
    </row>
    <row r="151" spans="1:4" x14ac:dyDescent="0.3">
      <c r="A151" s="9" t="s">
        <v>30</v>
      </c>
      <c r="B151" s="10">
        <v>4.3</v>
      </c>
      <c r="C151" s="10">
        <v>0.54</v>
      </c>
      <c r="D151" s="10">
        <v>-7</v>
      </c>
    </row>
    <row r="152" spans="1:4" x14ac:dyDescent="0.3">
      <c r="A152" s="9" t="s">
        <v>36</v>
      </c>
      <c r="B152" s="10">
        <v>4.3</v>
      </c>
      <c r="C152" s="10">
        <v>0.52</v>
      </c>
      <c r="D152" s="10">
        <v>-9</v>
      </c>
    </row>
    <row r="153" spans="1:4" x14ac:dyDescent="0.3">
      <c r="A153" s="9" t="s">
        <v>20</v>
      </c>
      <c r="B153" s="10">
        <v>4.2</v>
      </c>
      <c r="C153" s="10">
        <v>0.33</v>
      </c>
      <c r="D153" s="10">
        <v>-9</v>
      </c>
    </row>
    <row r="154" spans="1:4" x14ac:dyDescent="0.3">
      <c r="A154" s="9" t="s">
        <v>7</v>
      </c>
      <c r="B154" s="10">
        <v>4.0999999999999996</v>
      </c>
      <c r="C154" s="10">
        <v>0.47</v>
      </c>
      <c r="D154" s="10">
        <v>-14</v>
      </c>
    </row>
    <row r="155" spans="1:4" x14ac:dyDescent="0.3">
      <c r="A155" s="9" t="s">
        <v>34</v>
      </c>
      <c r="B155" s="10">
        <v>4.0999999999999996</v>
      </c>
      <c r="C155" s="10">
        <v>0.3</v>
      </c>
      <c r="D155" s="10">
        <v>-20</v>
      </c>
    </row>
    <row r="156" spans="1:4" x14ac:dyDescent="0.3">
      <c r="A156" s="9" t="s">
        <v>16</v>
      </c>
      <c r="B156" s="10">
        <v>4.0999999999999996</v>
      </c>
      <c r="C156" s="10">
        <v>0.2</v>
      </c>
      <c r="D156" s="10">
        <v>-12</v>
      </c>
    </row>
    <row r="157" spans="1:4" x14ac:dyDescent="0.3">
      <c r="A157" s="9" t="s">
        <v>13</v>
      </c>
      <c r="B157" s="10">
        <v>4</v>
      </c>
      <c r="C157" s="10">
        <v>0.37</v>
      </c>
      <c r="D157" s="10">
        <v>-2</v>
      </c>
    </row>
    <row r="158" spans="1:4" x14ac:dyDescent="0.3">
      <c r="A158" s="9" t="s">
        <v>87</v>
      </c>
      <c r="B158" s="10">
        <v>4</v>
      </c>
      <c r="C158" s="10">
        <v>0.49</v>
      </c>
      <c r="D158" s="10">
        <v>-1</v>
      </c>
    </row>
    <row r="159" spans="1:4" x14ac:dyDescent="0.3">
      <c r="A159" s="9" t="s">
        <v>11</v>
      </c>
      <c r="B159" s="10">
        <v>4</v>
      </c>
      <c r="C159" s="10">
        <v>0.09</v>
      </c>
      <c r="D159" s="10">
        <v>-15</v>
      </c>
    </row>
    <row r="160" spans="1:4" x14ac:dyDescent="0.3">
      <c r="A160" s="9" t="s">
        <v>28</v>
      </c>
      <c r="B160" s="10">
        <v>4</v>
      </c>
      <c r="C160" s="10">
        <v>0.35</v>
      </c>
      <c r="D160" s="10">
        <v>-6</v>
      </c>
    </row>
    <row r="161" spans="1:4" x14ac:dyDescent="0.3">
      <c r="A161" s="9" t="s">
        <v>15</v>
      </c>
      <c r="B161" s="10">
        <v>3.8</v>
      </c>
      <c r="C161" s="10">
        <v>0.45</v>
      </c>
      <c r="D161" s="10">
        <v>-5</v>
      </c>
    </row>
    <row r="162" spans="1:4" x14ac:dyDescent="0.3">
      <c r="A162" s="9" t="s">
        <v>32</v>
      </c>
      <c r="B162" s="10">
        <v>3.8</v>
      </c>
      <c r="C162" s="10">
        <v>0.18</v>
      </c>
      <c r="D162" s="10">
        <v>-12</v>
      </c>
    </row>
    <row r="163" spans="1:4" x14ac:dyDescent="0.3">
      <c r="A163" s="9" t="s">
        <v>33</v>
      </c>
      <c r="B163" s="10">
        <v>3.8</v>
      </c>
      <c r="C163" s="10">
        <v>0.32</v>
      </c>
      <c r="D163" s="10">
        <v>-13</v>
      </c>
    </row>
    <row r="164" spans="1:4" x14ac:dyDescent="0.3">
      <c r="A164" s="9" t="s">
        <v>26</v>
      </c>
      <c r="B164" s="10">
        <v>3.3</v>
      </c>
      <c r="C164" s="10">
        <v>0.53</v>
      </c>
      <c r="D164" s="10">
        <v>-13</v>
      </c>
    </row>
    <row r="165" spans="1:4" x14ac:dyDescent="0.3">
      <c r="A165" s="9" t="s">
        <v>65</v>
      </c>
      <c r="B165" s="10">
        <v>3</v>
      </c>
      <c r="C165" s="10">
        <v>0.54</v>
      </c>
      <c r="D165" s="10">
        <v>-10</v>
      </c>
    </row>
    <row r="166" spans="1:4" x14ac:dyDescent="0.3">
      <c r="A166" s="9" t="s">
        <v>74</v>
      </c>
      <c r="B166" s="10">
        <v>3</v>
      </c>
      <c r="C166" s="10">
        <v>0.28999999999999998</v>
      </c>
      <c r="D166" s="10">
        <v>-5</v>
      </c>
    </row>
    <row r="167" spans="1:4" x14ac:dyDescent="0.3">
      <c r="A167" s="9" t="s">
        <v>72</v>
      </c>
      <c r="B167" s="10">
        <v>3</v>
      </c>
      <c r="C167" s="10">
        <v>0.39</v>
      </c>
      <c r="D167" s="10">
        <v>-5</v>
      </c>
    </row>
    <row r="168" spans="1:4" x14ac:dyDescent="0.3">
      <c r="A168" s="9" t="s">
        <v>83</v>
      </c>
      <c r="B168" s="10">
        <v>3</v>
      </c>
      <c r="C168" s="10">
        <v>0.46</v>
      </c>
      <c r="D168" s="10">
        <v>-1</v>
      </c>
    </row>
    <row r="169" spans="1:4" x14ac:dyDescent="0.3">
      <c r="A169" s="9" t="s">
        <v>76</v>
      </c>
      <c r="B169" s="10">
        <v>3</v>
      </c>
      <c r="C169" s="10">
        <v>0.43</v>
      </c>
      <c r="D169" s="10">
        <v>-5</v>
      </c>
    </row>
    <row r="170" spans="1:4" x14ac:dyDescent="0.3">
      <c r="A170" s="9" t="s">
        <v>69</v>
      </c>
      <c r="B170" s="10">
        <v>2.9</v>
      </c>
      <c r="C170" s="10">
        <v>0.22</v>
      </c>
      <c r="D170" s="10">
        <v>-16</v>
      </c>
    </row>
    <row r="171" spans="1:4" x14ac:dyDescent="0.3">
      <c r="A171" s="9" t="s">
        <v>67</v>
      </c>
      <c r="B171" s="10">
        <v>2.8</v>
      </c>
      <c r="C171" s="10">
        <v>0.49</v>
      </c>
      <c r="D171" s="10">
        <v>-69</v>
      </c>
    </row>
    <row r="172" spans="1:4" x14ac:dyDescent="0.3">
      <c r="A172" s="9" t="s">
        <v>68</v>
      </c>
      <c r="B172" s="10">
        <v>2.7</v>
      </c>
      <c r="C172" s="10">
        <v>0.52</v>
      </c>
      <c r="D172" s="10">
        <v>-15</v>
      </c>
    </row>
    <row r="173" spans="1:4" x14ac:dyDescent="0.3">
      <c r="A173" s="9" t="s">
        <v>73</v>
      </c>
      <c r="B173" s="10">
        <v>2.6</v>
      </c>
      <c r="C173" s="10">
        <v>0.45</v>
      </c>
      <c r="D173" s="10">
        <v>-17</v>
      </c>
    </row>
    <row r="174" spans="1:4" x14ac:dyDescent="0.3">
      <c r="A174" s="9" t="s">
        <v>64</v>
      </c>
      <c r="B174" s="10">
        <v>2.5</v>
      </c>
      <c r="C174" s="10">
        <v>0.13</v>
      </c>
      <c r="D174" s="10">
        <v>-6</v>
      </c>
    </row>
    <row r="175" spans="1:4" x14ac:dyDescent="0.3">
      <c r="A175" s="9" t="s">
        <v>75</v>
      </c>
      <c r="B175" s="10">
        <v>2.2999999999999998</v>
      </c>
      <c r="C175" s="10">
        <v>0.43</v>
      </c>
      <c r="D175" s="10">
        <v>-6</v>
      </c>
    </row>
    <row r="176" spans="1:4" x14ac:dyDescent="0.3">
      <c r="A176" s="9" t="s">
        <v>71</v>
      </c>
      <c r="B176" s="10">
        <v>2.2999999999999998</v>
      </c>
      <c r="C176" s="10">
        <v>0.5</v>
      </c>
      <c r="D176" s="10">
        <v>-7</v>
      </c>
    </row>
    <row r="177" spans="1:4" x14ac:dyDescent="0.3">
      <c r="A177" s="9" t="s">
        <v>70</v>
      </c>
      <c r="B177" s="10">
        <v>2.2000000000000002</v>
      </c>
      <c r="C177" s="10">
        <v>0.45</v>
      </c>
      <c r="D177" s="10">
        <v>-6</v>
      </c>
    </row>
    <row r="178" spans="1:4" x14ac:dyDescent="0.3">
      <c r="A178" s="9" t="s">
        <v>77</v>
      </c>
      <c r="B178" s="10">
        <v>2.2000000000000002</v>
      </c>
      <c r="C178" s="10">
        <v>0.47</v>
      </c>
      <c r="D178" s="10">
        <v>-6</v>
      </c>
    </row>
    <row r="179" spans="1:4" x14ac:dyDescent="0.3">
      <c r="A179" s="9" t="s">
        <v>78</v>
      </c>
      <c r="B179" s="10">
        <v>2.1</v>
      </c>
      <c r="C179" s="10">
        <v>0.47</v>
      </c>
      <c r="D179" s="10">
        <v>-7</v>
      </c>
    </row>
    <row r="180" spans="1:4" x14ac:dyDescent="0.3">
      <c r="A180" s="9" t="s">
        <v>66</v>
      </c>
      <c r="B180" s="10">
        <v>2.1</v>
      </c>
      <c r="C180" s="10">
        <v>0.55000000000000004</v>
      </c>
      <c r="D180" s="10">
        <v>-13</v>
      </c>
    </row>
    <row r="181" spans="1:4" x14ac:dyDescent="0.3">
      <c r="A181" s="9" t="s">
        <v>113</v>
      </c>
      <c r="B181" s="10">
        <v>2</v>
      </c>
      <c r="C181" s="10">
        <v>0.5</v>
      </c>
      <c r="D181" s="10">
        <v>-1</v>
      </c>
    </row>
    <row r="182" spans="1:4" x14ac:dyDescent="0.3">
      <c r="A182" s="9" t="s">
        <v>56</v>
      </c>
      <c r="B182" s="10"/>
      <c r="C182" s="10">
        <v>0.02</v>
      </c>
      <c r="D182" s="10"/>
    </row>
    <row r="183" spans="1:4" x14ac:dyDescent="0.3">
      <c r="A183" s="9" t="s">
        <v>80</v>
      </c>
      <c r="B183" s="10"/>
      <c r="C183" s="10">
        <v>0.43</v>
      </c>
      <c r="D183" s="10"/>
    </row>
    <row r="184" spans="1:4" x14ac:dyDescent="0.3">
      <c r="A184" s="9" t="s">
        <v>95</v>
      </c>
      <c r="B184" s="10"/>
      <c r="C184" s="10">
        <v>0.48</v>
      </c>
      <c r="D184" s="10"/>
    </row>
    <row r="185" spans="1:4" x14ac:dyDescent="0.3">
      <c r="A185" s="9" t="s">
        <v>59</v>
      </c>
      <c r="B185" s="10"/>
      <c r="C185" s="10">
        <v>0.41</v>
      </c>
      <c r="D185" s="10"/>
    </row>
    <row r="186" spans="1:4" x14ac:dyDescent="0.3">
      <c r="A186" s="9" t="s">
        <v>62</v>
      </c>
      <c r="B186" s="10"/>
      <c r="C186" s="10">
        <v>0.49</v>
      </c>
      <c r="D186" s="10"/>
    </row>
    <row r="187" spans="1:4" x14ac:dyDescent="0.3">
      <c r="A187" s="9" t="s">
        <v>52</v>
      </c>
      <c r="B187" s="10"/>
      <c r="C187" s="10">
        <v>0.49</v>
      </c>
      <c r="D187" s="10"/>
    </row>
    <row r="188" spans="1:4" x14ac:dyDescent="0.3">
      <c r="A188" s="9" t="s">
        <v>99</v>
      </c>
      <c r="B188" s="10"/>
      <c r="C188" s="10">
        <v>0.02</v>
      </c>
      <c r="D188" s="10"/>
    </row>
    <row r="189" spans="1:4" x14ac:dyDescent="0.3">
      <c r="A189" s="9" t="s">
        <v>46</v>
      </c>
      <c r="B189" s="10"/>
      <c r="C189" s="10">
        <v>0.49</v>
      </c>
      <c r="D189" s="10"/>
    </row>
    <row r="190" spans="1:4" x14ac:dyDescent="0.3">
      <c r="A190" s="9" t="s">
        <v>111</v>
      </c>
      <c r="B190" s="10"/>
      <c r="C190" s="10">
        <v>0.02</v>
      </c>
      <c r="D190" s="10"/>
    </row>
    <row r="191" spans="1:4" x14ac:dyDescent="0.3">
      <c r="A191" s="9" t="s">
        <v>27</v>
      </c>
      <c r="B191" s="10"/>
      <c r="C191" s="10">
        <v>0.42</v>
      </c>
      <c r="D191" s="10"/>
    </row>
    <row r="192" spans="1:4" x14ac:dyDescent="0.3">
      <c r="A192" s="9" t="s">
        <v>35</v>
      </c>
      <c r="B192" s="10"/>
      <c r="C192" s="10">
        <v>0.46</v>
      </c>
      <c r="D192" s="10"/>
    </row>
    <row r="193" spans="1:4" x14ac:dyDescent="0.3">
      <c r="A193" s="9" t="s">
        <v>89</v>
      </c>
      <c r="B193" s="10"/>
      <c r="C193" s="10">
        <v>0.49</v>
      </c>
      <c r="D193" s="10"/>
    </row>
    <row r="194" spans="1:4" x14ac:dyDescent="0.3">
      <c r="A194" s="9" t="s">
        <v>90</v>
      </c>
      <c r="B194" s="10"/>
      <c r="C194" s="10">
        <v>0.11</v>
      </c>
      <c r="D194" s="10"/>
    </row>
    <row r="195" spans="1:4" x14ac:dyDescent="0.3">
      <c r="A195" s="9" t="s">
        <v>106</v>
      </c>
      <c r="B195" s="10"/>
      <c r="C195" s="10">
        <v>0.01</v>
      </c>
      <c r="D195" s="10"/>
    </row>
    <row r="196" spans="1:4" x14ac:dyDescent="0.3">
      <c r="A196" s="9" t="s">
        <v>61</v>
      </c>
      <c r="B196" s="10"/>
      <c r="C196" s="10">
        <v>0.48</v>
      </c>
      <c r="D196" s="10"/>
    </row>
    <row r="197" spans="1:4" x14ac:dyDescent="0.3">
      <c r="A197" s="9" t="s">
        <v>109</v>
      </c>
      <c r="B197" s="10"/>
      <c r="C197" s="10">
        <v>0.34</v>
      </c>
      <c r="D197" s="10"/>
    </row>
    <row r="198" spans="1:4" x14ac:dyDescent="0.3">
      <c r="A198" s="9" t="s">
        <v>94</v>
      </c>
      <c r="B198" s="10"/>
      <c r="C198" s="10">
        <v>0.48</v>
      </c>
      <c r="D198" s="10"/>
    </row>
    <row r="199" spans="1:4" x14ac:dyDescent="0.3">
      <c r="A199" s="9" t="s">
        <v>97</v>
      </c>
      <c r="B199" s="10"/>
      <c r="C199" s="10">
        <v>0.5</v>
      </c>
      <c r="D199" s="10"/>
    </row>
    <row r="200" spans="1:4" x14ac:dyDescent="0.3">
      <c r="A200" s="9" t="s">
        <v>110</v>
      </c>
      <c r="B200" s="10"/>
      <c r="C200" s="10">
        <v>0.02</v>
      </c>
      <c r="D200" s="10"/>
    </row>
    <row r="201" spans="1:4" x14ac:dyDescent="0.3">
      <c r="A201" s="9" t="s">
        <v>53</v>
      </c>
      <c r="B201" s="10"/>
      <c r="C201" s="10">
        <v>0.38</v>
      </c>
      <c r="D201" s="10"/>
    </row>
    <row r="202" spans="1:4" x14ac:dyDescent="0.3">
      <c r="A202" s="9" t="s">
        <v>93</v>
      </c>
      <c r="B202" s="10"/>
      <c r="C202" s="10">
        <v>0.5</v>
      </c>
      <c r="D202" s="10"/>
    </row>
    <row r="203" spans="1:4" x14ac:dyDescent="0.3">
      <c r="A203" s="9" t="s">
        <v>85</v>
      </c>
      <c r="B203" s="10"/>
      <c r="C203" s="10">
        <v>0.36</v>
      </c>
      <c r="D203" s="10"/>
    </row>
    <row r="204" spans="1:4" x14ac:dyDescent="0.3">
      <c r="A204" s="9" t="s">
        <v>92</v>
      </c>
      <c r="B204" s="10"/>
      <c r="C204" s="10">
        <v>0.43</v>
      </c>
      <c r="D204" s="10"/>
    </row>
    <row r="205" spans="1:4" x14ac:dyDescent="0.3">
      <c r="A205" s="9" t="s">
        <v>86</v>
      </c>
      <c r="B205" s="10"/>
      <c r="C205" s="10">
        <v>0.02</v>
      </c>
      <c r="D205" s="10"/>
    </row>
    <row r="206" spans="1:4" x14ac:dyDescent="0.3">
      <c r="A206" s="9" t="s">
        <v>58</v>
      </c>
      <c r="B206" s="10"/>
      <c r="C206" s="10">
        <v>0.03</v>
      </c>
      <c r="D206" s="10"/>
    </row>
    <row r="207" spans="1:4" x14ac:dyDescent="0.3">
      <c r="A207" s="9" t="s">
        <v>112</v>
      </c>
      <c r="B207" s="10"/>
      <c r="C207" s="10">
        <v>0.64</v>
      </c>
      <c r="D207" s="10"/>
    </row>
    <row r="208" spans="1:4" x14ac:dyDescent="0.3">
      <c r="A208" s="9" t="s">
        <v>88</v>
      </c>
      <c r="B208" s="10"/>
      <c r="C208" s="10">
        <v>0.14000000000000001</v>
      </c>
      <c r="D208" s="10"/>
    </row>
    <row r="209" spans="1:4" x14ac:dyDescent="0.3">
      <c r="A209" s="9" t="s">
        <v>96</v>
      </c>
      <c r="B209" s="10"/>
      <c r="C209" s="10">
        <v>0.47</v>
      </c>
      <c r="D209" s="10"/>
    </row>
    <row r="210" spans="1:4" x14ac:dyDescent="0.3">
      <c r="A210" s="9" t="s">
        <v>79</v>
      </c>
      <c r="B210" s="10"/>
      <c r="C210" s="10">
        <v>0.47</v>
      </c>
      <c r="D210" s="10"/>
    </row>
    <row r="211" spans="1:4" x14ac:dyDescent="0.3">
      <c r="A211" s="9" t="s">
        <v>45</v>
      </c>
      <c r="B211" s="10"/>
      <c r="C211" s="10">
        <v>0.38</v>
      </c>
      <c r="D211" s="10"/>
    </row>
    <row r="212" spans="1:4" x14ac:dyDescent="0.3">
      <c r="A212" s="9" t="s">
        <v>57</v>
      </c>
      <c r="B212" s="10"/>
      <c r="C212" s="10">
        <v>0.22</v>
      </c>
      <c r="D212" s="10"/>
    </row>
    <row r="213" spans="1:4" x14ac:dyDescent="0.3">
      <c r="A213" s="9" t="s">
        <v>51</v>
      </c>
      <c r="B213" s="10"/>
      <c r="C213" s="10">
        <v>0.33</v>
      </c>
      <c r="D213" s="10"/>
    </row>
    <row r="214" spans="1:4" x14ac:dyDescent="0.3">
      <c r="A214" s="9" t="s">
        <v>102</v>
      </c>
      <c r="B214" s="10"/>
      <c r="C214" s="10">
        <v>0.49</v>
      </c>
      <c r="D214" s="10"/>
    </row>
    <row r="215" spans="1:4" x14ac:dyDescent="0.3">
      <c r="A215" s="9" t="s">
        <v>82</v>
      </c>
      <c r="B215" s="10"/>
      <c r="C215" s="10">
        <v>0.49</v>
      </c>
      <c r="D215" s="10"/>
    </row>
    <row r="216" spans="1:4" x14ac:dyDescent="0.3">
      <c r="A216" s="9" t="s">
        <v>48</v>
      </c>
      <c r="B216" s="10"/>
      <c r="C216" s="10">
        <v>0.42</v>
      </c>
      <c r="D216" s="10"/>
    </row>
    <row r="217" spans="1:4" x14ac:dyDescent="0.3">
      <c r="A217" s="9" t="s">
        <v>108</v>
      </c>
      <c r="B217" s="10"/>
      <c r="C217" s="10">
        <v>0.34</v>
      </c>
      <c r="D217" s="10"/>
    </row>
    <row r="218" spans="1:4" x14ac:dyDescent="0.3">
      <c r="A218" s="9" t="s">
        <v>63</v>
      </c>
      <c r="B218" s="10"/>
      <c r="C218" s="10">
        <v>0.27</v>
      </c>
      <c r="D218" s="10"/>
    </row>
    <row r="219" spans="1:4" x14ac:dyDescent="0.3">
      <c r="A219" s="9" t="s">
        <v>114</v>
      </c>
      <c r="B219" s="10"/>
      <c r="C219" s="10">
        <v>0.47</v>
      </c>
      <c r="D219" s="10"/>
    </row>
    <row r="220" spans="1:4" x14ac:dyDescent="0.3">
      <c r="A220" s="9" t="s">
        <v>49</v>
      </c>
      <c r="B220" s="10"/>
      <c r="C220" s="10">
        <v>0.02</v>
      </c>
      <c r="D220" s="10"/>
    </row>
    <row r="221" spans="1:4" x14ac:dyDescent="0.3">
      <c r="A221" s="9" t="s">
        <v>103</v>
      </c>
      <c r="B221" s="10"/>
      <c r="C221" s="10">
        <v>0.42</v>
      </c>
      <c r="D221" s="10"/>
    </row>
    <row r="222" spans="1:4" x14ac:dyDescent="0.3">
      <c r="A222" s="9" t="s">
        <v>60</v>
      </c>
      <c r="B222" s="10"/>
      <c r="C222" s="10">
        <v>0.5</v>
      </c>
      <c r="D222" s="10"/>
    </row>
    <row r="223" spans="1:4" x14ac:dyDescent="0.3">
      <c r="A223" s="9" t="s">
        <v>105</v>
      </c>
      <c r="B223" s="10"/>
      <c r="C223" s="10">
        <v>0.41</v>
      </c>
      <c r="D223" s="10"/>
    </row>
    <row r="224" spans="1:4" x14ac:dyDescent="0.3">
      <c r="A224" s="9" t="s">
        <v>55</v>
      </c>
      <c r="B224" s="10"/>
      <c r="C224" s="10">
        <v>0.5</v>
      </c>
      <c r="D224" s="10"/>
    </row>
    <row r="225" spans="1:4" x14ac:dyDescent="0.3">
      <c r="A225" s="9" t="s">
        <v>98</v>
      </c>
      <c r="B225" s="10"/>
      <c r="C225" s="10">
        <v>0.08</v>
      </c>
      <c r="D225" s="10"/>
    </row>
    <row r="226" spans="1:4" x14ac:dyDescent="0.3">
      <c r="A226" s="9" t="s">
        <v>100</v>
      </c>
      <c r="B226" s="10"/>
      <c r="C226" s="10">
        <v>0.49</v>
      </c>
      <c r="D226" s="10"/>
    </row>
    <row r="227" spans="1:4" x14ac:dyDescent="0.3">
      <c r="A227" s="9" t="s">
        <v>91</v>
      </c>
      <c r="B227" s="10"/>
      <c r="C227" s="10">
        <v>0.14000000000000001</v>
      </c>
      <c r="D227" s="10"/>
    </row>
    <row r="228" spans="1:4" x14ac:dyDescent="0.3">
      <c r="A228" s="9" t="s">
        <v>101</v>
      </c>
      <c r="B228" s="10"/>
      <c r="C228" s="10">
        <v>0.04</v>
      </c>
      <c r="D228" s="10"/>
    </row>
    <row r="229" spans="1:4" x14ac:dyDescent="0.3">
      <c r="A229" s="9" t="s">
        <v>107</v>
      </c>
      <c r="B229" s="10"/>
      <c r="C229" s="10">
        <v>0.24</v>
      </c>
      <c r="D229" s="10"/>
    </row>
    <row r="230" spans="1:4" x14ac:dyDescent="0.3">
      <c r="A230" s="9" t="s">
        <v>47</v>
      </c>
      <c r="B230" s="10"/>
      <c r="C230" s="10">
        <v>0.5</v>
      </c>
      <c r="D230" s="10"/>
    </row>
    <row r="231" spans="1:4" x14ac:dyDescent="0.3">
      <c r="A231" s="9" t="s">
        <v>50</v>
      </c>
      <c r="B231" s="10"/>
      <c r="C231" s="10">
        <v>0.5</v>
      </c>
      <c r="D231" s="10"/>
    </row>
    <row r="232" spans="1:4" x14ac:dyDescent="0.3">
      <c r="A232" s="9" t="s">
        <v>54</v>
      </c>
      <c r="B232" s="10"/>
      <c r="C232" s="10">
        <v>0.55000000000000004</v>
      </c>
      <c r="D232" s="10"/>
    </row>
    <row r="233" spans="1:4" x14ac:dyDescent="0.3">
      <c r="A233" s="9" t="s">
        <v>81</v>
      </c>
      <c r="B233" s="10"/>
      <c r="C233" s="10">
        <v>0.04</v>
      </c>
      <c r="D233" s="10"/>
    </row>
    <row r="234" spans="1:4" x14ac:dyDescent="0.3">
      <c r="A234" s="9" t="s">
        <v>129</v>
      </c>
      <c r="B234" s="10">
        <v>3.8894736842105266</v>
      </c>
      <c r="C234" s="10">
        <v>0.36776785714285704</v>
      </c>
      <c r="D234" s="10">
        <v>-723</v>
      </c>
    </row>
    <row r="237" spans="1:4" x14ac:dyDescent="0.3">
      <c r="A237" t="s">
        <v>136</v>
      </c>
      <c r="B237" t="s">
        <v>130</v>
      </c>
      <c r="C237" t="s">
        <v>131</v>
      </c>
    </row>
    <row r="238" spans="1:4" x14ac:dyDescent="0.3">
      <c r="A238" s="10">
        <v>112</v>
      </c>
      <c r="B238" s="10">
        <v>221.69999999999996</v>
      </c>
      <c r="C238" s="10">
        <v>41.19</v>
      </c>
    </row>
    <row r="241" spans="1:2" x14ac:dyDescent="0.3">
      <c r="A241" s="8" t="s">
        <v>128</v>
      </c>
      <c r="B241" t="s">
        <v>130</v>
      </c>
    </row>
    <row r="242" spans="1:2" x14ac:dyDescent="0.3">
      <c r="A242" s="9" t="s">
        <v>42</v>
      </c>
      <c r="B242" s="10">
        <v>5</v>
      </c>
    </row>
    <row r="243" spans="1:2" x14ac:dyDescent="0.3">
      <c r="A243" s="9" t="s">
        <v>23</v>
      </c>
      <c r="B243" s="10">
        <v>5</v>
      </c>
    </row>
    <row r="244" spans="1:2" x14ac:dyDescent="0.3">
      <c r="A244" s="9" t="s">
        <v>104</v>
      </c>
      <c r="B244" s="10">
        <v>5</v>
      </c>
    </row>
    <row r="245" spans="1:2" x14ac:dyDescent="0.3">
      <c r="A245" s="9" t="s">
        <v>21</v>
      </c>
      <c r="B245" s="10">
        <v>5</v>
      </c>
    </row>
    <row r="246" spans="1:2" x14ac:dyDescent="0.3">
      <c r="A246" s="9" t="s">
        <v>22</v>
      </c>
      <c r="B246" s="10">
        <v>5</v>
      </c>
    </row>
    <row r="247" spans="1:2" x14ac:dyDescent="0.3">
      <c r="A247" s="9" t="s">
        <v>84</v>
      </c>
      <c r="B247" s="10">
        <v>5</v>
      </c>
    </row>
    <row r="248" spans="1:2" x14ac:dyDescent="0.3">
      <c r="A248" s="9" t="s">
        <v>41</v>
      </c>
      <c r="B248" s="10">
        <v>5</v>
      </c>
    </row>
    <row r="249" spans="1:2" x14ac:dyDescent="0.3">
      <c r="A249" s="9" t="s">
        <v>18</v>
      </c>
      <c r="B249" s="10">
        <v>4.8</v>
      </c>
    </row>
    <row r="250" spans="1:2" x14ac:dyDescent="0.3">
      <c r="A250" s="9" t="s">
        <v>10</v>
      </c>
      <c r="B250" s="10">
        <v>4.8</v>
      </c>
    </row>
    <row r="251" spans="1:2" x14ac:dyDescent="0.3">
      <c r="A251" s="9" t="s">
        <v>14</v>
      </c>
      <c r="B251" s="10">
        <v>4.8</v>
      </c>
    </row>
    <row r="252" spans="1:2" x14ac:dyDescent="0.3">
      <c r="A252" s="9" t="s">
        <v>37</v>
      </c>
      <c r="B252" s="10">
        <v>4.7</v>
      </c>
    </row>
    <row r="253" spans="1:2" x14ac:dyDescent="0.3">
      <c r="A253" s="9" t="s">
        <v>17</v>
      </c>
      <c r="B253" s="10">
        <v>4.7</v>
      </c>
    </row>
    <row r="254" spans="1:2" x14ac:dyDescent="0.3">
      <c r="A254" s="9" t="s">
        <v>39</v>
      </c>
      <c r="B254" s="10">
        <v>4.7</v>
      </c>
    </row>
    <row r="255" spans="1:2" x14ac:dyDescent="0.3">
      <c r="A255" s="9" t="s">
        <v>9</v>
      </c>
      <c r="B255" s="10">
        <v>4.7</v>
      </c>
    </row>
    <row r="256" spans="1:2" x14ac:dyDescent="0.3">
      <c r="A256" s="9" t="s">
        <v>12</v>
      </c>
      <c r="B256" s="10">
        <v>4.5999999999999996</v>
      </c>
    </row>
    <row r="257" spans="1:2" x14ac:dyDescent="0.3">
      <c r="A257" s="9" t="s">
        <v>24</v>
      </c>
      <c r="B257" s="10">
        <v>4.5999999999999996</v>
      </c>
    </row>
    <row r="258" spans="1:2" x14ac:dyDescent="0.3">
      <c r="A258" s="9" t="s">
        <v>25</v>
      </c>
      <c r="B258" s="10">
        <v>4.5999999999999996</v>
      </c>
    </row>
    <row r="259" spans="1:2" x14ac:dyDescent="0.3">
      <c r="A259" s="9" t="s">
        <v>8</v>
      </c>
      <c r="B259" s="10">
        <v>4.5999999999999996</v>
      </c>
    </row>
    <row r="260" spans="1:2" x14ac:dyDescent="0.3">
      <c r="A260" s="9" t="s">
        <v>31</v>
      </c>
      <c r="B260" s="10">
        <v>4.5999999999999996</v>
      </c>
    </row>
    <row r="261" spans="1:2" x14ac:dyDescent="0.3">
      <c r="A261" s="9" t="s">
        <v>40</v>
      </c>
      <c r="B261" s="10">
        <v>4.5</v>
      </c>
    </row>
    <row r="262" spans="1:2" x14ac:dyDescent="0.3">
      <c r="A262" s="9" t="s">
        <v>19</v>
      </c>
      <c r="B262" s="10">
        <v>4.5</v>
      </c>
    </row>
    <row r="263" spans="1:2" x14ac:dyDescent="0.3">
      <c r="A263" s="9" t="s">
        <v>44</v>
      </c>
      <c r="B263" s="10">
        <v>4.5</v>
      </c>
    </row>
    <row r="264" spans="1:2" x14ac:dyDescent="0.3">
      <c r="A264" s="9" t="s">
        <v>6</v>
      </c>
      <c r="B264" s="10">
        <v>4.5</v>
      </c>
    </row>
    <row r="265" spans="1:2" x14ac:dyDescent="0.3">
      <c r="A265" s="9" t="s">
        <v>29</v>
      </c>
      <c r="B265" s="10">
        <v>4.4000000000000004</v>
      </c>
    </row>
    <row r="266" spans="1:2" x14ac:dyDescent="0.3">
      <c r="A266" s="9" t="s">
        <v>38</v>
      </c>
      <c r="B266" s="10">
        <v>4.3</v>
      </c>
    </row>
    <row r="267" spans="1:2" x14ac:dyDescent="0.3">
      <c r="A267" s="9" t="s">
        <v>43</v>
      </c>
      <c r="B267" s="10">
        <v>4.3</v>
      </c>
    </row>
    <row r="268" spans="1:2" x14ac:dyDescent="0.3">
      <c r="A268" s="9" t="s">
        <v>30</v>
      </c>
      <c r="B268" s="10">
        <v>4.3</v>
      </c>
    </row>
    <row r="269" spans="1:2" x14ac:dyDescent="0.3">
      <c r="A269" s="9" t="s">
        <v>36</v>
      </c>
      <c r="B269" s="10">
        <v>4.3</v>
      </c>
    </row>
    <row r="270" spans="1:2" x14ac:dyDescent="0.3">
      <c r="A270" s="9" t="s">
        <v>20</v>
      </c>
      <c r="B270" s="10">
        <v>4.2</v>
      </c>
    </row>
    <row r="271" spans="1:2" x14ac:dyDescent="0.3">
      <c r="A271" s="9" t="s">
        <v>7</v>
      </c>
      <c r="B271" s="10">
        <v>4.0999999999999996</v>
      </c>
    </row>
    <row r="272" spans="1:2" x14ac:dyDescent="0.3">
      <c r="A272" s="9" t="s">
        <v>34</v>
      </c>
      <c r="B272" s="10">
        <v>4.0999999999999996</v>
      </c>
    </row>
    <row r="273" spans="1:2" x14ac:dyDescent="0.3">
      <c r="A273" s="9" t="s">
        <v>16</v>
      </c>
      <c r="B273" s="10">
        <v>4.0999999999999996</v>
      </c>
    </row>
    <row r="274" spans="1:2" x14ac:dyDescent="0.3">
      <c r="A274" s="9" t="s">
        <v>13</v>
      </c>
      <c r="B274" s="10">
        <v>4</v>
      </c>
    </row>
    <row r="275" spans="1:2" x14ac:dyDescent="0.3">
      <c r="A275" s="9" t="s">
        <v>87</v>
      </c>
      <c r="B275" s="10">
        <v>4</v>
      </c>
    </row>
    <row r="276" spans="1:2" x14ac:dyDescent="0.3">
      <c r="A276" s="9" t="s">
        <v>11</v>
      </c>
      <c r="B276" s="10">
        <v>4</v>
      </c>
    </row>
    <row r="277" spans="1:2" x14ac:dyDescent="0.3">
      <c r="A277" s="9" t="s">
        <v>28</v>
      </c>
      <c r="B277" s="10">
        <v>4</v>
      </c>
    </row>
    <row r="278" spans="1:2" x14ac:dyDescent="0.3">
      <c r="A278" s="9" t="s">
        <v>15</v>
      </c>
      <c r="B278" s="10">
        <v>3.8</v>
      </c>
    </row>
    <row r="279" spans="1:2" x14ac:dyDescent="0.3">
      <c r="A279" s="9" t="s">
        <v>32</v>
      </c>
      <c r="B279" s="10">
        <v>3.8</v>
      </c>
    </row>
    <row r="280" spans="1:2" x14ac:dyDescent="0.3">
      <c r="A280" s="9" t="s">
        <v>33</v>
      </c>
      <c r="B280" s="10">
        <v>3.8</v>
      </c>
    </row>
    <row r="281" spans="1:2" x14ac:dyDescent="0.3">
      <c r="A281" s="9" t="s">
        <v>26</v>
      </c>
      <c r="B281" s="10">
        <v>3.3</v>
      </c>
    </row>
    <row r="282" spans="1:2" x14ac:dyDescent="0.3">
      <c r="A282" s="9" t="s">
        <v>65</v>
      </c>
      <c r="B282" s="10">
        <v>3</v>
      </c>
    </row>
    <row r="283" spans="1:2" x14ac:dyDescent="0.3">
      <c r="A283" s="9" t="s">
        <v>74</v>
      </c>
      <c r="B283" s="10">
        <v>3</v>
      </c>
    </row>
    <row r="284" spans="1:2" x14ac:dyDescent="0.3">
      <c r="A284" s="9" t="s">
        <v>72</v>
      </c>
      <c r="B284" s="10">
        <v>3</v>
      </c>
    </row>
    <row r="285" spans="1:2" x14ac:dyDescent="0.3">
      <c r="A285" s="9" t="s">
        <v>83</v>
      </c>
      <c r="B285" s="10">
        <v>3</v>
      </c>
    </row>
    <row r="286" spans="1:2" x14ac:dyDescent="0.3">
      <c r="A286" s="9" t="s">
        <v>76</v>
      </c>
      <c r="B286" s="10">
        <v>3</v>
      </c>
    </row>
    <row r="287" spans="1:2" x14ac:dyDescent="0.3">
      <c r="A287" s="9" t="s">
        <v>69</v>
      </c>
      <c r="B287" s="10">
        <v>2.9</v>
      </c>
    </row>
    <row r="288" spans="1:2" x14ac:dyDescent="0.3">
      <c r="A288" s="9" t="s">
        <v>67</v>
      </c>
      <c r="B288" s="10">
        <v>2.8</v>
      </c>
    </row>
    <row r="289" spans="1:2" x14ac:dyDescent="0.3">
      <c r="A289" s="9" t="s">
        <v>68</v>
      </c>
      <c r="B289" s="10">
        <v>2.7</v>
      </c>
    </row>
    <row r="290" spans="1:2" x14ac:dyDescent="0.3">
      <c r="A290" s="9" t="s">
        <v>73</v>
      </c>
      <c r="B290" s="10">
        <v>2.6</v>
      </c>
    </row>
    <row r="291" spans="1:2" x14ac:dyDescent="0.3">
      <c r="A291" s="9" t="s">
        <v>64</v>
      </c>
      <c r="B291" s="10">
        <v>2.5</v>
      </c>
    </row>
    <row r="292" spans="1:2" x14ac:dyDescent="0.3">
      <c r="A292" s="9" t="s">
        <v>75</v>
      </c>
      <c r="B292" s="10">
        <v>2.2999999999999998</v>
      </c>
    </row>
    <row r="293" spans="1:2" x14ac:dyDescent="0.3">
      <c r="A293" s="9" t="s">
        <v>71</v>
      </c>
      <c r="B293" s="10">
        <v>2.2999999999999998</v>
      </c>
    </row>
    <row r="294" spans="1:2" x14ac:dyDescent="0.3">
      <c r="A294" s="9" t="s">
        <v>70</v>
      </c>
      <c r="B294" s="10">
        <v>2.2000000000000002</v>
      </c>
    </row>
    <row r="295" spans="1:2" x14ac:dyDescent="0.3">
      <c r="A295" s="9" t="s">
        <v>77</v>
      </c>
      <c r="B295" s="10">
        <v>2.2000000000000002</v>
      </c>
    </row>
    <row r="296" spans="1:2" x14ac:dyDescent="0.3">
      <c r="A296" s="9" t="s">
        <v>78</v>
      </c>
      <c r="B296" s="10">
        <v>2.1</v>
      </c>
    </row>
    <row r="297" spans="1:2" x14ac:dyDescent="0.3">
      <c r="A297" s="9" t="s">
        <v>66</v>
      </c>
      <c r="B297" s="10">
        <v>2.1</v>
      </c>
    </row>
    <row r="298" spans="1:2" x14ac:dyDescent="0.3">
      <c r="A298" s="9" t="s">
        <v>113</v>
      </c>
      <c r="B298" s="10">
        <v>2</v>
      </c>
    </row>
    <row r="299" spans="1:2" x14ac:dyDescent="0.3">
      <c r="A299" s="9" t="s">
        <v>56</v>
      </c>
      <c r="B299" s="10"/>
    </row>
    <row r="300" spans="1:2" x14ac:dyDescent="0.3">
      <c r="A300" s="9" t="s">
        <v>80</v>
      </c>
      <c r="B300" s="10"/>
    </row>
    <row r="301" spans="1:2" x14ac:dyDescent="0.3">
      <c r="A301" s="9" t="s">
        <v>95</v>
      </c>
      <c r="B301" s="10"/>
    </row>
    <row r="302" spans="1:2" x14ac:dyDescent="0.3">
      <c r="A302" s="9" t="s">
        <v>59</v>
      </c>
      <c r="B302" s="10"/>
    </row>
    <row r="303" spans="1:2" x14ac:dyDescent="0.3">
      <c r="A303" s="9" t="s">
        <v>62</v>
      </c>
      <c r="B303" s="10"/>
    </row>
    <row r="304" spans="1:2" x14ac:dyDescent="0.3">
      <c r="A304" s="9" t="s">
        <v>52</v>
      </c>
      <c r="B304" s="10"/>
    </row>
    <row r="305" spans="1:2" x14ac:dyDescent="0.3">
      <c r="A305" s="9" t="s">
        <v>99</v>
      </c>
      <c r="B305" s="10"/>
    </row>
    <row r="306" spans="1:2" x14ac:dyDescent="0.3">
      <c r="A306" s="9" t="s">
        <v>46</v>
      </c>
      <c r="B306" s="10"/>
    </row>
    <row r="307" spans="1:2" x14ac:dyDescent="0.3">
      <c r="A307" s="9" t="s">
        <v>111</v>
      </c>
      <c r="B307" s="10"/>
    </row>
    <row r="308" spans="1:2" x14ac:dyDescent="0.3">
      <c r="A308" s="9" t="s">
        <v>27</v>
      </c>
      <c r="B308" s="10"/>
    </row>
    <row r="309" spans="1:2" x14ac:dyDescent="0.3">
      <c r="A309" s="9" t="s">
        <v>35</v>
      </c>
      <c r="B309" s="10"/>
    </row>
    <row r="310" spans="1:2" x14ac:dyDescent="0.3">
      <c r="A310" s="9" t="s">
        <v>89</v>
      </c>
      <c r="B310" s="10"/>
    </row>
    <row r="311" spans="1:2" x14ac:dyDescent="0.3">
      <c r="A311" s="9" t="s">
        <v>90</v>
      </c>
      <c r="B311" s="10"/>
    </row>
    <row r="312" spans="1:2" x14ac:dyDescent="0.3">
      <c r="A312" s="9" t="s">
        <v>106</v>
      </c>
      <c r="B312" s="10"/>
    </row>
    <row r="313" spans="1:2" x14ac:dyDescent="0.3">
      <c r="A313" s="9" t="s">
        <v>61</v>
      </c>
      <c r="B313" s="10"/>
    </row>
    <row r="314" spans="1:2" x14ac:dyDescent="0.3">
      <c r="A314" s="9" t="s">
        <v>109</v>
      </c>
      <c r="B314" s="10"/>
    </row>
    <row r="315" spans="1:2" x14ac:dyDescent="0.3">
      <c r="A315" s="9" t="s">
        <v>94</v>
      </c>
      <c r="B315" s="10"/>
    </row>
    <row r="316" spans="1:2" x14ac:dyDescent="0.3">
      <c r="A316" s="9" t="s">
        <v>97</v>
      </c>
      <c r="B316" s="10"/>
    </row>
    <row r="317" spans="1:2" x14ac:dyDescent="0.3">
      <c r="A317" s="9" t="s">
        <v>110</v>
      </c>
      <c r="B317" s="10"/>
    </row>
    <row r="318" spans="1:2" x14ac:dyDescent="0.3">
      <c r="A318" s="9" t="s">
        <v>53</v>
      </c>
      <c r="B318" s="10"/>
    </row>
    <row r="319" spans="1:2" x14ac:dyDescent="0.3">
      <c r="A319" s="9" t="s">
        <v>93</v>
      </c>
      <c r="B319" s="10"/>
    </row>
    <row r="320" spans="1:2" x14ac:dyDescent="0.3">
      <c r="A320" s="9" t="s">
        <v>85</v>
      </c>
      <c r="B320" s="10"/>
    </row>
    <row r="321" spans="1:2" x14ac:dyDescent="0.3">
      <c r="A321" s="9" t="s">
        <v>92</v>
      </c>
      <c r="B321" s="10"/>
    </row>
    <row r="322" spans="1:2" x14ac:dyDescent="0.3">
      <c r="A322" s="9" t="s">
        <v>86</v>
      </c>
      <c r="B322" s="10"/>
    </row>
    <row r="323" spans="1:2" x14ac:dyDescent="0.3">
      <c r="A323" s="9" t="s">
        <v>58</v>
      </c>
      <c r="B323" s="10"/>
    </row>
    <row r="324" spans="1:2" x14ac:dyDescent="0.3">
      <c r="A324" s="9" t="s">
        <v>112</v>
      </c>
      <c r="B324" s="10"/>
    </row>
    <row r="325" spans="1:2" x14ac:dyDescent="0.3">
      <c r="A325" s="9" t="s">
        <v>88</v>
      </c>
      <c r="B325" s="10"/>
    </row>
    <row r="326" spans="1:2" x14ac:dyDescent="0.3">
      <c r="A326" s="9" t="s">
        <v>96</v>
      </c>
      <c r="B326" s="10"/>
    </row>
    <row r="327" spans="1:2" x14ac:dyDescent="0.3">
      <c r="A327" s="9" t="s">
        <v>79</v>
      </c>
      <c r="B327" s="10"/>
    </row>
    <row r="328" spans="1:2" x14ac:dyDescent="0.3">
      <c r="A328" s="9" t="s">
        <v>45</v>
      </c>
      <c r="B328" s="10"/>
    </row>
    <row r="329" spans="1:2" x14ac:dyDescent="0.3">
      <c r="A329" s="9" t="s">
        <v>57</v>
      </c>
      <c r="B329" s="10"/>
    </row>
    <row r="330" spans="1:2" x14ac:dyDescent="0.3">
      <c r="A330" s="9" t="s">
        <v>51</v>
      </c>
      <c r="B330" s="10"/>
    </row>
    <row r="331" spans="1:2" x14ac:dyDescent="0.3">
      <c r="A331" s="9" t="s">
        <v>102</v>
      </c>
      <c r="B331" s="10"/>
    </row>
    <row r="332" spans="1:2" x14ac:dyDescent="0.3">
      <c r="A332" s="9" t="s">
        <v>82</v>
      </c>
      <c r="B332" s="10"/>
    </row>
    <row r="333" spans="1:2" x14ac:dyDescent="0.3">
      <c r="A333" s="9" t="s">
        <v>48</v>
      </c>
      <c r="B333" s="10"/>
    </row>
    <row r="334" spans="1:2" x14ac:dyDescent="0.3">
      <c r="A334" s="9" t="s">
        <v>108</v>
      </c>
      <c r="B334" s="10"/>
    </row>
    <row r="335" spans="1:2" x14ac:dyDescent="0.3">
      <c r="A335" s="9" t="s">
        <v>63</v>
      </c>
      <c r="B335" s="10"/>
    </row>
    <row r="336" spans="1:2" x14ac:dyDescent="0.3">
      <c r="A336" s="9" t="s">
        <v>114</v>
      </c>
      <c r="B336" s="10"/>
    </row>
    <row r="337" spans="1:2" x14ac:dyDescent="0.3">
      <c r="A337" s="9" t="s">
        <v>49</v>
      </c>
      <c r="B337" s="10"/>
    </row>
    <row r="338" spans="1:2" x14ac:dyDescent="0.3">
      <c r="A338" s="9" t="s">
        <v>103</v>
      </c>
      <c r="B338" s="10"/>
    </row>
    <row r="339" spans="1:2" x14ac:dyDescent="0.3">
      <c r="A339" s="9" t="s">
        <v>60</v>
      </c>
      <c r="B339" s="10"/>
    </row>
    <row r="340" spans="1:2" x14ac:dyDescent="0.3">
      <c r="A340" s="9" t="s">
        <v>105</v>
      </c>
      <c r="B340" s="10"/>
    </row>
    <row r="341" spans="1:2" x14ac:dyDescent="0.3">
      <c r="A341" s="9" t="s">
        <v>55</v>
      </c>
      <c r="B341" s="10"/>
    </row>
    <row r="342" spans="1:2" x14ac:dyDescent="0.3">
      <c r="A342" s="9" t="s">
        <v>98</v>
      </c>
      <c r="B342" s="10"/>
    </row>
    <row r="343" spans="1:2" x14ac:dyDescent="0.3">
      <c r="A343" s="9" t="s">
        <v>100</v>
      </c>
      <c r="B343" s="10"/>
    </row>
    <row r="344" spans="1:2" x14ac:dyDescent="0.3">
      <c r="A344" s="9" t="s">
        <v>91</v>
      </c>
      <c r="B344" s="10"/>
    </row>
    <row r="345" spans="1:2" x14ac:dyDescent="0.3">
      <c r="A345" s="9" t="s">
        <v>101</v>
      </c>
      <c r="B345" s="10"/>
    </row>
    <row r="346" spans="1:2" x14ac:dyDescent="0.3">
      <c r="A346" s="9" t="s">
        <v>107</v>
      </c>
      <c r="B346" s="10"/>
    </row>
    <row r="347" spans="1:2" x14ac:dyDescent="0.3">
      <c r="A347" s="9" t="s">
        <v>47</v>
      </c>
      <c r="B347" s="10"/>
    </row>
    <row r="348" spans="1:2" x14ac:dyDescent="0.3">
      <c r="A348" s="9" t="s">
        <v>50</v>
      </c>
      <c r="B348" s="10"/>
    </row>
    <row r="349" spans="1:2" x14ac:dyDescent="0.3">
      <c r="A349" s="9" t="s">
        <v>54</v>
      </c>
      <c r="B349" s="10"/>
    </row>
    <row r="350" spans="1:2" x14ac:dyDescent="0.3">
      <c r="A350" s="9" t="s">
        <v>81</v>
      </c>
      <c r="B350" s="10"/>
    </row>
    <row r="351" spans="1:2" x14ac:dyDescent="0.3">
      <c r="A351" s="9" t="s">
        <v>129</v>
      </c>
      <c r="B351" s="10">
        <v>221.70000000000002</v>
      </c>
    </row>
    <row r="353" spans="1:2" x14ac:dyDescent="0.3">
      <c r="A353" s="8" t="s">
        <v>128</v>
      </c>
      <c r="B353" t="s">
        <v>131</v>
      </c>
    </row>
    <row r="354" spans="1:2" x14ac:dyDescent="0.3">
      <c r="A354" s="9" t="s">
        <v>54</v>
      </c>
      <c r="B354" s="10">
        <v>1.1000000000000001</v>
      </c>
    </row>
    <row r="355" spans="1:2" x14ac:dyDescent="0.3">
      <c r="A355" s="9" t="s">
        <v>60</v>
      </c>
      <c r="B355" s="10">
        <v>1</v>
      </c>
    </row>
    <row r="356" spans="1:2" x14ac:dyDescent="0.3">
      <c r="A356" s="9" t="s">
        <v>62</v>
      </c>
      <c r="B356" s="10">
        <v>0.98</v>
      </c>
    </row>
    <row r="357" spans="1:2" x14ac:dyDescent="0.3">
      <c r="A357" s="9" t="s">
        <v>112</v>
      </c>
      <c r="B357" s="10">
        <v>0.64</v>
      </c>
    </row>
    <row r="358" spans="1:2" x14ac:dyDescent="0.3">
      <c r="A358" s="9" t="s">
        <v>14</v>
      </c>
      <c r="B358" s="10">
        <v>0.55000000000000004</v>
      </c>
    </row>
    <row r="359" spans="1:2" x14ac:dyDescent="0.3">
      <c r="A359" s="9" t="s">
        <v>66</v>
      </c>
      <c r="B359" s="10">
        <v>0.55000000000000004</v>
      </c>
    </row>
    <row r="360" spans="1:2" x14ac:dyDescent="0.3">
      <c r="A360" s="9" t="s">
        <v>30</v>
      </c>
      <c r="B360" s="10">
        <v>0.54</v>
      </c>
    </row>
    <row r="361" spans="1:2" x14ac:dyDescent="0.3">
      <c r="A361" s="9" t="s">
        <v>65</v>
      </c>
      <c r="B361" s="10">
        <v>0.54</v>
      </c>
    </row>
    <row r="362" spans="1:2" x14ac:dyDescent="0.3">
      <c r="A362" s="9" t="s">
        <v>26</v>
      </c>
      <c r="B362" s="10">
        <v>0.53</v>
      </c>
    </row>
    <row r="363" spans="1:2" x14ac:dyDescent="0.3">
      <c r="A363" s="9" t="s">
        <v>42</v>
      </c>
      <c r="B363" s="10">
        <v>0.53</v>
      </c>
    </row>
    <row r="364" spans="1:2" x14ac:dyDescent="0.3">
      <c r="A364" s="9" t="s">
        <v>68</v>
      </c>
      <c r="B364" s="10">
        <v>0.52</v>
      </c>
    </row>
    <row r="365" spans="1:2" x14ac:dyDescent="0.3">
      <c r="A365" s="9" t="s">
        <v>36</v>
      </c>
      <c r="B365" s="10">
        <v>0.52</v>
      </c>
    </row>
    <row r="366" spans="1:2" x14ac:dyDescent="0.3">
      <c r="A366" s="9" t="s">
        <v>21</v>
      </c>
      <c r="B366" s="10">
        <v>0.51</v>
      </c>
    </row>
    <row r="367" spans="1:2" x14ac:dyDescent="0.3">
      <c r="A367" s="9" t="s">
        <v>50</v>
      </c>
      <c r="B367" s="10">
        <v>0.5</v>
      </c>
    </row>
    <row r="368" spans="1:2" x14ac:dyDescent="0.3">
      <c r="A368" s="9" t="s">
        <v>71</v>
      </c>
      <c r="B368" s="10">
        <v>0.5</v>
      </c>
    </row>
    <row r="369" spans="1:2" x14ac:dyDescent="0.3">
      <c r="A369" s="9" t="s">
        <v>47</v>
      </c>
      <c r="B369" s="10">
        <v>0.5</v>
      </c>
    </row>
    <row r="370" spans="1:2" x14ac:dyDescent="0.3">
      <c r="A370" s="9" t="s">
        <v>113</v>
      </c>
      <c r="B370" s="10">
        <v>0.5</v>
      </c>
    </row>
    <row r="371" spans="1:2" x14ac:dyDescent="0.3">
      <c r="A371" s="9" t="s">
        <v>97</v>
      </c>
      <c r="B371" s="10">
        <v>0.5</v>
      </c>
    </row>
    <row r="372" spans="1:2" x14ac:dyDescent="0.3">
      <c r="A372" s="9" t="s">
        <v>55</v>
      </c>
      <c r="B372" s="10">
        <v>0.5</v>
      </c>
    </row>
    <row r="373" spans="1:2" x14ac:dyDescent="0.3">
      <c r="A373" s="9" t="s">
        <v>93</v>
      </c>
      <c r="B373" s="10">
        <v>0.5</v>
      </c>
    </row>
    <row r="374" spans="1:2" x14ac:dyDescent="0.3">
      <c r="A374" s="9" t="s">
        <v>100</v>
      </c>
      <c r="B374" s="10">
        <v>0.49</v>
      </c>
    </row>
    <row r="375" spans="1:2" x14ac:dyDescent="0.3">
      <c r="A375" s="9" t="s">
        <v>23</v>
      </c>
      <c r="B375" s="10">
        <v>0.49</v>
      </c>
    </row>
    <row r="376" spans="1:2" x14ac:dyDescent="0.3">
      <c r="A376" s="9" t="s">
        <v>102</v>
      </c>
      <c r="B376" s="10">
        <v>0.49</v>
      </c>
    </row>
    <row r="377" spans="1:2" x14ac:dyDescent="0.3">
      <c r="A377" s="9" t="s">
        <v>25</v>
      </c>
      <c r="B377" s="10">
        <v>0.49</v>
      </c>
    </row>
    <row r="378" spans="1:2" x14ac:dyDescent="0.3">
      <c r="A378" s="9" t="s">
        <v>89</v>
      </c>
      <c r="B378" s="10">
        <v>0.49</v>
      </c>
    </row>
    <row r="379" spans="1:2" x14ac:dyDescent="0.3">
      <c r="A379" s="9" t="s">
        <v>87</v>
      </c>
      <c r="B379" s="10">
        <v>0.49</v>
      </c>
    </row>
    <row r="380" spans="1:2" x14ac:dyDescent="0.3">
      <c r="A380" s="9" t="s">
        <v>46</v>
      </c>
      <c r="B380" s="10">
        <v>0.49</v>
      </c>
    </row>
    <row r="381" spans="1:2" x14ac:dyDescent="0.3">
      <c r="A381" s="9" t="s">
        <v>67</v>
      </c>
      <c r="B381" s="10">
        <v>0.49</v>
      </c>
    </row>
    <row r="382" spans="1:2" x14ac:dyDescent="0.3">
      <c r="A382" s="9" t="s">
        <v>82</v>
      </c>
      <c r="B382" s="10">
        <v>0.49</v>
      </c>
    </row>
    <row r="383" spans="1:2" x14ac:dyDescent="0.3">
      <c r="A383" s="9" t="s">
        <v>84</v>
      </c>
      <c r="B383" s="10">
        <v>0.49</v>
      </c>
    </row>
    <row r="384" spans="1:2" x14ac:dyDescent="0.3">
      <c r="A384" s="9" t="s">
        <v>52</v>
      </c>
      <c r="B384" s="10">
        <v>0.49</v>
      </c>
    </row>
    <row r="385" spans="1:2" x14ac:dyDescent="0.3">
      <c r="A385" s="9" t="s">
        <v>95</v>
      </c>
      <c r="B385" s="10">
        <v>0.48</v>
      </c>
    </row>
    <row r="386" spans="1:2" x14ac:dyDescent="0.3">
      <c r="A386" s="9" t="s">
        <v>94</v>
      </c>
      <c r="B386" s="10">
        <v>0.48</v>
      </c>
    </row>
    <row r="387" spans="1:2" x14ac:dyDescent="0.3">
      <c r="A387" s="9" t="s">
        <v>38</v>
      </c>
      <c r="B387" s="10">
        <v>0.48</v>
      </c>
    </row>
    <row r="388" spans="1:2" x14ac:dyDescent="0.3">
      <c r="A388" s="9" t="s">
        <v>61</v>
      </c>
      <c r="B388" s="10">
        <v>0.48</v>
      </c>
    </row>
    <row r="389" spans="1:2" x14ac:dyDescent="0.3">
      <c r="A389" s="9" t="s">
        <v>18</v>
      </c>
      <c r="B389" s="10">
        <v>0.47</v>
      </c>
    </row>
    <row r="390" spans="1:2" x14ac:dyDescent="0.3">
      <c r="A390" s="9" t="s">
        <v>96</v>
      </c>
      <c r="B390" s="10">
        <v>0.47</v>
      </c>
    </row>
    <row r="391" spans="1:2" x14ac:dyDescent="0.3">
      <c r="A391" s="9" t="s">
        <v>7</v>
      </c>
      <c r="B391" s="10">
        <v>0.47</v>
      </c>
    </row>
    <row r="392" spans="1:2" x14ac:dyDescent="0.3">
      <c r="A392" s="9" t="s">
        <v>79</v>
      </c>
      <c r="B392" s="10">
        <v>0.47</v>
      </c>
    </row>
    <row r="393" spans="1:2" x14ac:dyDescent="0.3">
      <c r="A393" s="9" t="s">
        <v>77</v>
      </c>
      <c r="B393" s="10">
        <v>0.47</v>
      </c>
    </row>
    <row r="394" spans="1:2" x14ac:dyDescent="0.3">
      <c r="A394" s="9" t="s">
        <v>114</v>
      </c>
      <c r="B394" s="10">
        <v>0.47</v>
      </c>
    </row>
    <row r="395" spans="1:2" x14ac:dyDescent="0.3">
      <c r="A395" s="9" t="s">
        <v>78</v>
      </c>
      <c r="B395" s="10">
        <v>0.47</v>
      </c>
    </row>
    <row r="396" spans="1:2" x14ac:dyDescent="0.3">
      <c r="A396" s="9" t="s">
        <v>35</v>
      </c>
      <c r="B396" s="10">
        <v>0.46</v>
      </c>
    </row>
    <row r="397" spans="1:2" x14ac:dyDescent="0.3">
      <c r="A397" s="9" t="s">
        <v>22</v>
      </c>
      <c r="B397" s="10">
        <v>0.46</v>
      </c>
    </row>
    <row r="398" spans="1:2" x14ac:dyDescent="0.3">
      <c r="A398" s="9" t="s">
        <v>83</v>
      </c>
      <c r="B398" s="10">
        <v>0.46</v>
      </c>
    </row>
    <row r="399" spans="1:2" x14ac:dyDescent="0.3">
      <c r="A399" s="9" t="s">
        <v>73</v>
      </c>
      <c r="B399" s="10">
        <v>0.45</v>
      </c>
    </row>
    <row r="400" spans="1:2" x14ac:dyDescent="0.3">
      <c r="A400" s="9" t="s">
        <v>70</v>
      </c>
      <c r="B400" s="10">
        <v>0.45</v>
      </c>
    </row>
    <row r="401" spans="1:2" x14ac:dyDescent="0.3">
      <c r="A401" s="9" t="s">
        <v>15</v>
      </c>
      <c r="B401" s="10">
        <v>0.45</v>
      </c>
    </row>
    <row r="402" spans="1:2" x14ac:dyDescent="0.3">
      <c r="A402" s="9" t="s">
        <v>76</v>
      </c>
      <c r="B402" s="10">
        <v>0.43</v>
      </c>
    </row>
    <row r="403" spans="1:2" x14ac:dyDescent="0.3">
      <c r="A403" s="9" t="s">
        <v>80</v>
      </c>
      <c r="B403" s="10">
        <v>0.43</v>
      </c>
    </row>
    <row r="404" spans="1:2" x14ac:dyDescent="0.3">
      <c r="A404" s="9" t="s">
        <v>75</v>
      </c>
      <c r="B404" s="10">
        <v>0.43</v>
      </c>
    </row>
    <row r="405" spans="1:2" x14ac:dyDescent="0.3">
      <c r="A405" s="9" t="s">
        <v>92</v>
      </c>
      <c r="B405" s="10">
        <v>0.43</v>
      </c>
    </row>
    <row r="406" spans="1:2" x14ac:dyDescent="0.3">
      <c r="A406" s="9" t="s">
        <v>103</v>
      </c>
      <c r="B406" s="10">
        <v>0.42</v>
      </c>
    </row>
    <row r="407" spans="1:2" x14ac:dyDescent="0.3">
      <c r="A407" s="9" t="s">
        <v>27</v>
      </c>
      <c r="B407" s="10">
        <v>0.42</v>
      </c>
    </row>
    <row r="408" spans="1:2" x14ac:dyDescent="0.3">
      <c r="A408" s="9" t="s">
        <v>48</v>
      </c>
      <c r="B408" s="10">
        <v>0.42</v>
      </c>
    </row>
    <row r="409" spans="1:2" x14ac:dyDescent="0.3">
      <c r="A409" s="9" t="s">
        <v>19</v>
      </c>
      <c r="B409" s="10">
        <v>0.42</v>
      </c>
    </row>
    <row r="410" spans="1:2" x14ac:dyDescent="0.3">
      <c r="A410" s="9" t="s">
        <v>105</v>
      </c>
      <c r="B410" s="10">
        <v>0.41</v>
      </c>
    </row>
    <row r="411" spans="1:2" x14ac:dyDescent="0.3">
      <c r="A411" s="9" t="s">
        <v>43</v>
      </c>
      <c r="B411" s="10">
        <v>0.41</v>
      </c>
    </row>
    <row r="412" spans="1:2" x14ac:dyDescent="0.3">
      <c r="A412" s="9" t="s">
        <v>59</v>
      </c>
      <c r="B412" s="10">
        <v>0.41</v>
      </c>
    </row>
    <row r="413" spans="1:2" x14ac:dyDescent="0.3">
      <c r="A413" s="9" t="s">
        <v>41</v>
      </c>
      <c r="B413" s="10">
        <v>0.4</v>
      </c>
    </row>
    <row r="414" spans="1:2" x14ac:dyDescent="0.3">
      <c r="A414" s="9" t="s">
        <v>72</v>
      </c>
      <c r="B414" s="10">
        <v>0.39</v>
      </c>
    </row>
    <row r="415" spans="1:2" x14ac:dyDescent="0.3">
      <c r="A415" s="9" t="s">
        <v>6</v>
      </c>
      <c r="B415" s="10">
        <v>0.38</v>
      </c>
    </row>
    <row r="416" spans="1:2" x14ac:dyDescent="0.3">
      <c r="A416" s="9" t="s">
        <v>53</v>
      </c>
      <c r="B416" s="10">
        <v>0.38</v>
      </c>
    </row>
    <row r="417" spans="1:2" x14ac:dyDescent="0.3">
      <c r="A417" s="9" t="s">
        <v>44</v>
      </c>
      <c r="B417" s="10">
        <v>0.38</v>
      </c>
    </row>
    <row r="418" spans="1:2" x14ac:dyDescent="0.3">
      <c r="A418" s="9" t="s">
        <v>45</v>
      </c>
      <c r="B418" s="10">
        <v>0.38</v>
      </c>
    </row>
    <row r="419" spans="1:2" x14ac:dyDescent="0.3">
      <c r="A419" s="9" t="s">
        <v>9</v>
      </c>
      <c r="B419" s="10">
        <v>0.37</v>
      </c>
    </row>
    <row r="420" spans="1:2" x14ac:dyDescent="0.3">
      <c r="A420" s="9" t="s">
        <v>13</v>
      </c>
      <c r="B420" s="10">
        <v>0.37</v>
      </c>
    </row>
    <row r="421" spans="1:2" x14ac:dyDescent="0.3">
      <c r="A421" s="9" t="s">
        <v>85</v>
      </c>
      <c r="B421" s="10">
        <v>0.36</v>
      </c>
    </row>
    <row r="422" spans="1:2" x14ac:dyDescent="0.3">
      <c r="A422" s="9" t="s">
        <v>31</v>
      </c>
      <c r="B422" s="10">
        <v>0.35</v>
      </c>
    </row>
    <row r="423" spans="1:2" x14ac:dyDescent="0.3">
      <c r="A423" s="9" t="s">
        <v>28</v>
      </c>
      <c r="B423" s="10">
        <v>0.35</v>
      </c>
    </row>
    <row r="424" spans="1:2" x14ac:dyDescent="0.3">
      <c r="A424" s="9" t="s">
        <v>109</v>
      </c>
      <c r="B424" s="10">
        <v>0.34</v>
      </c>
    </row>
    <row r="425" spans="1:2" x14ac:dyDescent="0.3">
      <c r="A425" s="9" t="s">
        <v>37</v>
      </c>
      <c r="B425" s="10">
        <v>0.34</v>
      </c>
    </row>
    <row r="426" spans="1:2" x14ac:dyDescent="0.3">
      <c r="A426" s="9" t="s">
        <v>108</v>
      </c>
      <c r="B426" s="10">
        <v>0.34</v>
      </c>
    </row>
    <row r="427" spans="1:2" x14ac:dyDescent="0.3">
      <c r="A427" s="9" t="s">
        <v>17</v>
      </c>
      <c r="B427" s="10">
        <v>0.34</v>
      </c>
    </row>
    <row r="428" spans="1:2" x14ac:dyDescent="0.3">
      <c r="A428" s="9" t="s">
        <v>20</v>
      </c>
      <c r="B428" s="10">
        <v>0.33</v>
      </c>
    </row>
    <row r="429" spans="1:2" x14ac:dyDescent="0.3">
      <c r="A429" s="9" t="s">
        <v>51</v>
      </c>
      <c r="B429" s="10">
        <v>0.33</v>
      </c>
    </row>
    <row r="430" spans="1:2" x14ac:dyDescent="0.3">
      <c r="A430" s="9" t="s">
        <v>33</v>
      </c>
      <c r="B430" s="10">
        <v>0.32</v>
      </c>
    </row>
    <row r="431" spans="1:2" x14ac:dyDescent="0.3">
      <c r="A431" s="9" t="s">
        <v>34</v>
      </c>
      <c r="B431" s="10">
        <v>0.3</v>
      </c>
    </row>
    <row r="432" spans="1:2" x14ac:dyDescent="0.3">
      <c r="A432" s="9" t="s">
        <v>74</v>
      </c>
      <c r="B432" s="10">
        <v>0.28999999999999998</v>
      </c>
    </row>
    <row r="433" spans="1:2" x14ac:dyDescent="0.3">
      <c r="A433" s="9" t="s">
        <v>39</v>
      </c>
      <c r="B433" s="10">
        <v>0.27</v>
      </c>
    </row>
    <row r="434" spans="1:2" x14ac:dyDescent="0.3">
      <c r="A434" s="9" t="s">
        <v>63</v>
      </c>
      <c r="B434" s="10">
        <v>0.27</v>
      </c>
    </row>
    <row r="435" spans="1:2" x14ac:dyDescent="0.3">
      <c r="A435" s="9" t="s">
        <v>40</v>
      </c>
      <c r="B435" s="10">
        <v>0.27</v>
      </c>
    </row>
    <row r="436" spans="1:2" x14ac:dyDescent="0.3">
      <c r="A436" s="9" t="s">
        <v>10</v>
      </c>
      <c r="B436" s="10">
        <v>0.26</v>
      </c>
    </row>
    <row r="437" spans="1:2" x14ac:dyDescent="0.3">
      <c r="A437" s="9" t="s">
        <v>8</v>
      </c>
      <c r="B437" s="10">
        <v>0.25</v>
      </c>
    </row>
    <row r="438" spans="1:2" x14ac:dyDescent="0.3">
      <c r="A438" s="9" t="s">
        <v>107</v>
      </c>
      <c r="B438" s="10">
        <v>0.24</v>
      </c>
    </row>
    <row r="439" spans="1:2" x14ac:dyDescent="0.3">
      <c r="A439" s="9" t="s">
        <v>12</v>
      </c>
      <c r="B439" s="10">
        <v>0.24</v>
      </c>
    </row>
    <row r="440" spans="1:2" x14ac:dyDescent="0.3">
      <c r="A440" s="9" t="s">
        <v>29</v>
      </c>
      <c r="B440" s="10">
        <v>0.23</v>
      </c>
    </row>
    <row r="441" spans="1:2" x14ac:dyDescent="0.3">
      <c r="A441" s="9" t="s">
        <v>69</v>
      </c>
      <c r="B441" s="10">
        <v>0.22</v>
      </c>
    </row>
    <row r="442" spans="1:2" x14ac:dyDescent="0.3">
      <c r="A442" s="9" t="s">
        <v>57</v>
      </c>
      <c r="B442" s="10">
        <v>0.22</v>
      </c>
    </row>
    <row r="443" spans="1:2" x14ac:dyDescent="0.3">
      <c r="A443" s="9" t="s">
        <v>104</v>
      </c>
      <c r="B443" s="10">
        <v>0.21</v>
      </c>
    </row>
    <row r="444" spans="1:2" x14ac:dyDescent="0.3">
      <c r="A444" s="9" t="s">
        <v>16</v>
      </c>
      <c r="B444" s="10">
        <v>0.2</v>
      </c>
    </row>
    <row r="445" spans="1:2" x14ac:dyDescent="0.3">
      <c r="A445" s="9" t="s">
        <v>24</v>
      </c>
      <c r="B445" s="10">
        <v>0.19</v>
      </c>
    </row>
    <row r="446" spans="1:2" x14ac:dyDescent="0.3">
      <c r="A446" s="9" t="s">
        <v>32</v>
      </c>
      <c r="B446" s="10">
        <v>0.18</v>
      </c>
    </row>
    <row r="447" spans="1:2" x14ac:dyDescent="0.3">
      <c r="A447" s="9" t="s">
        <v>88</v>
      </c>
      <c r="B447" s="10">
        <v>0.14000000000000001</v>
      </c>
    </row>
    <row r="448" spans="1:2" x14ac:dyDescent="0.3">
      <c r="A448" s="9" t="s">
        <v>91</v>
      </c>
      <c r="B448" s="10">
        <v>0.14000000000000001</v>
      </c>
    </row>
    <row r="449" spans="1:2" x14ac:dyDescent="0.3">
      <c r="A449" s="9" t="s">
        <v>64</v>
      </c>
      <c r="B449" s="10">
        <v>0.13</v>
      </c>
    </row>
    <row r="450" spans="1:2" x14ac:dyDescent="0.3">
      <c r="A450" s="9" t="s">
        <v>90</v>
      </c>
      <c r="B450" s="10">
        <v>0.11</v>
      </c>
    </row>
    <row r="451" spans="1:2" x14ac:dyDescent="0.3">
      <c r="A451" s="9" t="s">
        <v>11</v>
      </c>
      <c r="B451" s="10">
        <v>0.09</v>
      </c>
    </row>
    <row r="452" spans="1:2" x14ac:dyDescent="0.3">
      <c r="A452" s="9" t="s">
        <v>98</v>
      </c>
      <c r="B452" s="10">
        <v>0.08</v>
      </c>
    </row>
    <row r="453" spans="1:2" x14ac:dyDescent="0.3">
      <c r="A453" s="9" t="s">
        <v>101</v>
      </c>
      <c r="B453" s="10">
        <v>0.04</v>
      </c>
    </row>
    <row r="454" spans="1:2" x14ac:dyDescent="0.3">
      <c r="A454" s="9" t="s">
        <v>81</v>
      </c>
      <c r="B454" s="10">
        <v>0.04</v>
      </c>
    </row>
    <row r="455" spans="1:2" x14ac:dyDescent="0.3">
      <c r="A455" s="9" t="s">
        <v>58</v>
      </c>
      <c r="B455" s="10">
        <v>0.03</v>
      </c>
    </row>
    <row r="456" spans="1:2" x14ac:dyDescent="0.3">
      <c r="A456" s="9" t="s">
        <v>110</v>
      </c>
      <c r="B456" s="10">
        <v>0.02</v>
      </c>
    </row>
    <row r="457" spans="1:2" x14ac:dyDescent="0.3">
      <c r="A457" s="9" t="s">
        <v>49</v>
      </c>
      <c r="B457" s="10">
        <v>0.02</v>
      </c>
    </row>
    <row r="458" spans="1:2" x14ac:dyDescent="0.3">
      <c r="A458" s="9" t="s">
        <v>99</v>
      </c>
      <c r="B458" s="10">
        <v>0.02</v>
      </c>
    </row>
    <row r="459" spans="1:2" x14ac:dyDescent="0.3">
      <c r="A459" s="9" t="s">
        <v>111</v>
      </c>
      <c r="B459" s="10">
        <v>0.02</v>
      </c>
    </row>
    <row r="460" spans="1:2" x14ac:dyDescent="0.3">
      <c r="A460" s="9" t="s">
        <v>56</v>
      </c>
      <c r="B460" s="10">
        <v>0.02</v>
      </c>
    </row>
    <row r="461" spans="1:2" x14ac:dyDescent="0.3">
      <c r="A461" s="9" t="s">
        <v>86</v>
      </c>
      <c r="B461" s="10">
        <v>0.02</v>
      </c>
    </row>
    <row r="462" spans="1:2" x14ac:dyDescent="0.3">
      <c r="A462" s="9" t="s">
        <v>106</v>
      </c>
      <c r="B462" s="10">
        <v>0.01</v>
      </c>
    </row>
    <row r="463" spans="1:2" x14ac:dyDescent="0.3">
      <c r="A463" s="9" t="s">
        <v>129</v>
      </c>
      <c r="B463" s="10">
        <v>41.19</v>
      </c>
    </row>
    <row r="467" spans="1:4" x14ac:dyDescent="0.3">
      <c r="A467" s="8" t="s">
        <v>128</v>
      </c>
      <c r="B467" t="s">
        <v>136</v>
      </c>
      <c r="C467" t="s">
        <v>130</v>
      </c>
      <c r="D467" t="s">
        <v>139</v>
      </c>
    </row>
    <row r="468" spans="1:4" x14ac:dyDescent="0.3">
      <c r="A468" s="9" t="s">
        <v>141</v>
      </c>
      <c r="B468" s="10">
        <v>62</v>
      </c>
      <c r="C468" s="10">
        <v>108.39999999999998</v>
      </c>
      <c r="D468" s="10">
        <v>62</v>
      </c>
    </row>
    <row r="469" spans="1:4" x14ac:dyDescent="0.3">
      <c r="A469" s="9" t="s">
        <v>140</v>
      </c>
      <c r="B469" s="10">
        <v>49</v>
      </c>
      <c r="C469" s="10">
        <v>108.30000000000001</v>
      </c>
      <c r="D469" s="10">
        <v>49</v>
      </c>
    </row>
    <row r="470" spans="1:4" x14ac:dyDescent="0.3">
      <c r="A470" s="9" t="s">
        <v>142</v>
      </c>
      <c r="B470" s="10">
        <v>1</v>
      </c>
      <c r="C470" s="10">
        <v>5</v>
      </c>
      <c r="D470" s="10">
        <v>1</v>
      </c>
    </row>
    <row r="471" spans="1:4" x14ac:dyDescent="0.3">
      <c r="A471" s="9" t="s">
        <v>129</v>
      </c>
      <c r="B471" s="10">
        <v>112</v>
      </c>
      <c r="C471" s="10">
        <v>221.69999999999993</v>
      </c>
      <c r="D471" s="10">
        <v>112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BFA38-449B-49A8-ABE4-5C64E2F3C3C8}">
  <dimension ref="A3:C113"/>
  <sheetViews>
    <sheetView workbookViewId="0">
      <selection activeCell="A24" sqref="A24:XFD24"/>
    </sheetView>
  </sheetViews>
  <sheetFormatPr defaultRowHeight="14.4" x14ac:dyDescent="0.3"/>
  <cols>
    <col min="1" max="1" width="95.6640625" bestFit="1" customWidth="1"/>
    <col min="2" max="2" width="13.33203125" bestFit="1" customWidth="1"/>
    <col min="3" max="4" width="19.44140625" bestFit="1" customWidth="1"/>
    <col min="5" max="5" width="19.44140625" customWidth="1"/>
    <col min="6" max="48" width="19.44140625" bestFit="1" customWidth="1"/>
    <col min="49" max="49" width="21" bestFit="1" customWidth="1"/>
    <col min="50" max="50" width="24.44140625" bestFit="1" customWidth="1"/>
  </cols>
  <sheetData>
    <row r="3" spans="1:3" x14ac:dyDescent="0.3">
      <c r="A3" s="8" t="s">
        <v>128</v>
      </c>
      <c r="B3" t="s">
        <v>130</v>
      </c>
      <c r="C3" t="s">
        <v>135</v>
      </c>
    </row>
    <row r="4" spans="1:3" x14ac:dyDescent="0.3">
      <c r="A4" s="9" t="s">
        <v>42</v>
      </c>
      <c r="B4" s="10">
        <v>5</v>
      </c>
      <c r="C4" s="10">
        <v>171</v>
      </c>
    </row>
    <row r="5" spans="1:3" x14ac:dyDescent="0.3">
      <c r="A5" s="9" t="s">
        <v>23</v>
      </c>
      <c r="B5" s="10">
        <v>5</v>
      </c>
      <c r="C5" s="10">
        <v>2025</v>
      </c>
    </row>
    <row r="6" spans="1:3" x14ac:dyDescent="0.3">
      <c r="A6" s="9" t="s">
        <v>104</v>
      </c>
      <c r="B6" s="10">
        <v>5</v>
      </c>
      <c r="C6" s="10">
        <v>3640</v>
      </c>
    </row>
    <row r="7" spans="1:3" x14ac:dyDescent="0.3">
      <c r="A7" s="9" t="s">
        <v>21</v>
      </c>
      <c r="B7" s="10">
        <v>5</v>
      </c>
      <c r="C7" s="10">
        <v>332</v>
      </c>
    </row>
    <row r="8" spans="1:3" x14ac:dyDescent="0.3">
      <c r="A8" s="9" t="s">
        <v>22</v>
      </c>
      <c r="B8" s="10">
        <v>5</v>
      </c>
      <c r="C8" s="10">
        <v>195</v>
      </c>
    </row>
    <row r="9" spans="1:3" x14ac:dyDescent="0.3">
      <c r="A9" s="9" t="s">
        <v>84</v>
      </c>
      <c r="B9" s="10">
        <v>5</v>
      </c>
      <c r="C9" s="10">
        <v>979</v>
      </c>
    </row>
    <row r="10" spans="1:3" x14ac:dyDescent="0.3">
      <c r="A10" s="9" t="s">
        <v>41</v>
      </c>
      <c r="B10" s="10">
        <v>5</v>
      </c>
      <c r="C10" s="10">
        <v>1620</v>
      </c>
    </row>
    <row r="11" spans="1:3" x14ac:dyDescent="0.3">
      <c r="A11" s="9" t="s">
        <v>18</v>
      </c>
      <c r="B11" s="10">
        <v>4.8</v>
      </c>
      <c r="C11" s="10">
        <v>552</v>
      </c>
    </row>
    <row r="12" spans="1:3" x14ac:dyDescent="0.3">
      <c r="A12" s="9" t="s">
        <v>10</v>
      </c>
      <c r="B12" s="10">
        <v>4.8</v>
      </c>
      <c r="C12" s="10">
        <v>1740</v>
      </c>
    </row>
    <row r="13" spans="1:3" x14ac:dyDescent="0.3">
      <c r="A13" s="9" t="s">
        <v>14</v>
      </c>
      <c r="B13" s="10">
        <v>4.8</v>
      </c>
      <c r="C13" s="10">
        <v>1274</v>
      </c>
    </row>
    <row r="14" spans="1:3" x14ac:dyDescent="0.3">
      <c r="A14" s="9" t="s">
        <v>37</v>
      </c>
      <c r="B14" s="10">
        <v>4.7</v>
      </c>
      <c r="C14" s="10">
        <v>980</v>
      </c>
    </row>
    <row r="15" spans="1:3" x14ac:dyDescent="0.3">
      <c r="A15" s="9" t="s">
        <v>17</v>
      </c>
      <c r="B15" s="10">
        <v>4.7</v>
      </c>
      <c r="C15" s="10">
        <v>990</v>
      </c>
    </row>
    <row r="16" spans="1:3" x14ac:dyDescent="0.3">
      <c r="A16" s="9" t="s">
        <v>39</v>
      </c>
      <c r="B16" s="10">
        <v>4.7</v>
      </c>
      <c r="C16" s="10">
        <v>1940</v>
      </c>
    </row>
    <row r="17" spans="1:3" x14ac:dyDescent="0.3">
      <c r="A17" s="9" t="s">
        <v>9</v>
      </c>
      <c r="B17" s="10">
        <v>4.7</v>
      </c>
      <c r="C17" s="10">
        <v>1580</v>
      </c>
    </row>
    <row r="18" spans="1:3" x14ac:dyDescent="0.3">
      <c r="A18" s="9" t="s">
        <v>12</v>
      </c>
      <c r="B18" s="10">
        <v>4.5999999999999996</v>
      </c>
      <c r="C18" s="10">
        <v>2319</v>
      </c>
    </row>
    <row r="19" spans="1:3" x14ac:dyDescent="0.3">
      <c r="A19" s="9" t="s">
        <v>24</v>
      </c>
      <c r="B19" s="10">
        <v>4.5999999999999996</v>
      </c>
      <c r="C19" s="10">
        <v>2999</v>
      </c>
    </row>
    <row r="20" spans="1:3" x14ac:dyDescent="0.3">
      <c r="A20" s="9" t="s">
        <v>25</v>
      </c>
      <c r="B20" s="10">
        <v>4.5999999999999996</v>
      </c>
      <c r="C20" s="10">
        <v>998</v>
      </c>
    </row>
    <row r="21" spans="1:3" x14ac:dyDescent="0.3">
      <c r="A21" s="9" t="s">
        <v>8</v>
      </c>
      <c r="B21" s="10">
        <v>4.5999999999999996</v>
      </c>
      <c r="C21" s="10">
        <v>2199</v>
      </c>
    </row>
    <row r="22" spans="1:3" x14ac:dyDescent="0.3">
      <c r="A22" s="9" t="s">
        <v>31</v>
      </c>
      <c r="B22" s="10">
        <v>4.5999999999999996</v>
      </c>
      <c r="C22" s="10">
        <v>420</v>
      </c>
    </row>
    <row r="23" spans="1:3" x14ac:dyDescent="0.3">
      <c r="A23" s="9" t="s">
        <v>40</v>
      </c>
      <c r="B23" s="10">
        <v>4.5</v>
      </c>
      <c r="C23" s="10">
        <v>1980</v>
      </c>
    </row>
    <row r="24" spans="1:3" x14ac:dyDescent="0.3">
      <c r="A24" s="9" t="s">
        <v>19</v>
      </c>
      <c r="B24" s="10">
        <v>4.5</v>
      </c>
      <c r="C24" s="10">
        <v>501</v>
      </c>
    </row>
    <row r="25" spans="1:3" x14ac:dyDescent="0.3">
      <c r="A25" s="9" t="s">
        <v>44</v>
      </c>
      <c r="B25" s="10">
        <v>4.5</v>
      </c>
      <c r="C25" s="10">
        <v>180</v>
      </c>
    </row>
    <row r="26" spans="1:3" x14ac:dyDescent="0.3">
      <c r="A26" s="9" t="s">
        <v>6</v>
      </c>
      <c r="B26" s="10">
        <v>4.5</v>
      </c>
      <c r="C26" s="10">
        <v>950</v>
      </c>
    </row>
    <row r="27" spans="1:3" x14ac:dyDescent="0.3">
      <c r="A27" s="9" t="s">
        <v>29</v>
      </c>
      <c r="B27" s="10">
        <v>4.4000000000000004</v>
      </c>
      <c r="C27" s="10">
        <v>1650</v>
      </c>
    </row>
    <row r="28" spans="1:3" x14ac:dyDescent="0.3">
      <c r="A28" s="9" t="s">
        <v>38</v>
      </c>
      <c r="B28" s="10">
        <v>4.3</v>
      </c>
      <c r="C28" s="10">
        <v>1820</v>
      </c>
    </row>
    <row r="29" spans="1:3" x14ac:dyDescent="0.3">
      <c r="A29" s="9" t="s">
        <v>43</v>
      </c>
      <c r="B29" s="10">
        <v>4.3</v>
      </c>
      <c r="C29" s="10">
        <v>389</v>
      </c>
    </row>
    <row r="30" spans="1:3" x14ac:dyDescent="0.3">
      <c r="A30" s="9" t="s">
        <v>30</v>
      </c>
      <c r="B30" s="10">
        <v>4.3</v>
      </c>
      <c r="C30" s="10">
        <v>2048</v>
      </c>
    </row>
    <row r="31" spans="1:3" x14ac:dyDescent="0.3">
      <c r="A31" s="9" t="s">
        <v>36</v>
      </c>
      <c r="B31" s="10">
        <v>4.3</v>
      </c>
      <c r="C31" s="10">
        <v>185</v>
      </c>
    </row>
    <row r="32" spans="1:3" x14ac:dyDescent="0.3">
      <c r="A32" s="9" t="s">
        <v>20</v>
      </c>
      <c r="B32" s="10">
        <v>4.2</v>
      </c>
      <c r="C32" s="10">
        <v>1680</v>
      </c>
    </row>
    <row r="33" spans="1:3" x14ac:dyDescent="0.3">
      <c r="A33" s="9" t="s">
        <v>7</v>
      </c>
      <c r="B33" s="10">
        <v>4.0999999999999996</v>
      </c>
      <c r="C33" s="10">
        <v>527</v>
      </c>
    </row>
    <row r="34" spans="1:3" x14ac:dyDescent="0.3">
      <c r="A34" s="9" t="s">
        <v>34</v>
      </c>
      <c r="B34" s="10">
        <v>4.0999999999999996</v>
      </c>
      <c r="C34" s="10">
        <v>1758</v>
      </c>
    </row>
    <row r="35" spans="1:3" x14ac:dyDescent="0.3">
      <c r="A35" s="9" t="s">
        <v>16</v>
      </c>
      <c r="B35" s="10">
        <v>4.0999999999999996</v>
      </c>
      <c r="C35" s="10">
        <v>799</v>
      </c>
    </row>
    <row r="36" spans="1:3" x14ac:dyDescent="0.3">
      <c r="A36" s="9" t="s">
        <v>13</v>
      </c>
      <c r="B36" s="10">
        <v>4</v>
      </c>
      <c r="C36" s="10">
        <v>988</v>
      </c>
    </row>
    <row r="37" spans="1:3" x14ac:dyDescent="0.3">
      <c r="A37" s="9" t="s">
        <v>87</v>
      </c>
      <c r="B37" s="10">
        <v>4</v>
      </c>
      <c r="C37" s="10">
        <v>330</v>
      </c>
    </row>
    <row r="38" spans="1:3" x14ac:dyDescent="0.3">
      <c r="A38" s="9" t="s">
        <v>11</v>
      </c>
      <c r="B38" s="10">
        <v>4</v>
      </c>
      <c r="C38" s="10">
        <v>2999</v>
      </c>
    </row>
    <row r="39" spans="1:3" x14ac:dyDescent="0.3">
      <c r="A39" s="9" t="s">
        <v>28</v>
      </c>
      <c r="B39" s="10">
        <v>4</v>
      </c>
      <c r="C39" s="10">
        <v>880</v>
      </c>
    </row>
    <row r="40" spans="1:3" x14ac:dyDescent="0.3">
      <c r="A40" s="9" t="s">
        <v>15</v>
      </c>
      <c r="B40" s="10">
        <v>3.8</v>
      </c>
      <c r="C40" s="10">
        <v>1600</v>
      </c>
    </row>
    <row r="41" spans="1:3" x14ac:dyDescent="0.3">
      <c r="A41" s="9" t="s">
        <v>32</v>
      </c>
      <c r="B41" s="10">
        <v>3.8</v>
      </c>
      <c r="C41" s="10">
        <v>2880</v>
      </c>
    </row>
    <row r="42" spans="1:3" x14ac:dyDescent="0.3">
      <c r="A42" s="9" t="s">
        <v>33</v>
      </c>
      <c r="B42" s="10">
        <v>3.8</v>
      </c>
      <c r="C42" s="10">
        <v>1350</v>
      </c>
    </row>
    <row r="43" spans="1:3" x14ac:dyDescent="0.3">
      <c r="A43" s="9" t="s">
        <v>26</v>
      </c>
      <c r="B43" s="10">
        <v>3.3</v>
      </c>
      <c r="C43" s="10">
        <v>38</v>
      </c>
    </row>
    <row r="44" spans="1:3" x14ac:dyDescent="0.3">
      <c r="A44" s="9" t="s">
        <v>65</v>
      </c>
      <c r="B44" s="10">
        <v>3</v>
      </c>
      <c r="C44" s="10">
        <v>458</v>
      </c>
    </row>
    <row r="45" spans="1:3" x14ac:dyDescent="0.3">
      <c r="A45" s="9" t="s">
        <v>74</v>
      </c>
      <c r="B45" s="10">
        <v>3</v>
      </c>
      <c r="C45" s="10">
        <v>2300</v>
      </c>
    </row>
    <row r="46" spans="1:3" x14ac:dyDescent="0.3">
      <c r="A46" s="9" t="s">
        <v>72</v>
      </c>
      <c r="B46" s="10">
        <v>3</v>
      </c>
      <c r="C46" s="10">
        <v>3750</v>
      </c>
    </row>
    <row r="47" spans="1:3" x14ac:dyDescent="0.3">
      <c r="A47" s="9" t="s">
        <v>83</v>
      </c>
      <c r="B47" s="10">
        <v>3</v>
      </c>
      <c r="C47" s="10">
        <v>1189</v>
      </c>
    </row>
    <row r="48" spans="1:3" x14ac:dyDescent="0.3">
      <c r="A48" s="9" t="s">
        <v>76</v>
      </c>
      <c r="B48" s="10">
        <v>3</v>
      </c>
      <c r="C48" s="10">
        <v>509</v>
      </c>
    </row>
    <row r="49" spans="1:3" x14ac:dyDescent="0.3">
      <c r="A49" s="9" t="s">
        <v>69</v>
      </c>
      <c r="B49" s="10">
        <v>2.9</v>
      </c>
      <c r="C49" s="10">
        <v>1220</v>
      </c>
    </row>
    <row r="50" spans="1:3" x14ac:dyDescent="0.3">
      <c r="A50" s="9" t="s">
        <v>67</v>
      </c>
      <c r="B50" s="10">
        <v>2.8</v>
      </c>
      <c r="C50" s="10">
        <v>445</v>
      </c>
    </row>
    <row r="51" spans="1:3" x14ac:dyDescent="0.3">
      <c r="A51" s="9" t="s">
        <v>68</v>
      </c>
      <c r="B51" s="10">
        <v>2.7</v>
      </c>
      <c r="C51" s="10">
        <v>325</v>
      </c>
    </row>
    <row r="52" spans="1:3" x14ac:dyDescent="0.3">
      <c r="A52" s="9" t="s">
        <v>73</v>
      </c>
      <c r="B52" s="10">
        <v>2.6</v>
      </c>
      <c r="C52" s="10">
        <v>382</v>
      </c>
    </row>
    <row r="53" spans="1:3" x14ac:dyDescent="0.3">
      <c r="A53" s="9" t="s">
        <v>64</v>
      </c>
      <c r="B53" s="10">
        <v>2.5</v>
      </c>
      <c r="C53" s="10">
        <v>2170</v>
      </c>
    </row>
    <row r="54" spans="1:3" x14ac:dyDescent="0.3">
      <c r="A54" s="9" t="s">
        <v>75</v>
      </c>
      <c r="B54" s="10">
        <v>2.2999999999999998</v>
      </c>
      <c r="C54" s="10">
        <v>345</v>
      </c>
    </row>
    <row r="55" spans="1:3" x14ac:dyDescent="0.3">
      <c r="A55" s="9" t="s">
        <v>71</v>
      </c>
      <c r="B55" s="10">
        <v>2.2999999999999998</v>
      </c>
      <c r="C55" s="10">
        <v>1000</v>
      </c>
    </row>
    <row r="56" spans="1:3" x14ac:dyDescent="0.3">
      <c r="A56" s="9" t="s">
        <v>70</v>
      </c>
      <c r="B56" s="10">
        <v>2.2000000000000002</v>
      </c>
      <c r="C56" s="10">
        <v>990</v>
      </c>
    </row>
    <row r="57" spans="1:3" x14ac:dyDescent="0.3">
      <c r="A57" s="9" t="s">
        <v>77</v>
      </c>
      <c r="B57" s="10">
        <v>2.2000000000000002</v>
      </c>
      <c r="C57" s="10">
        <v>968</v>
      </c>
    </row>
    <row r="58" spans="1:3" x14ac:dyDescent="0.3">
      <c r="A58" s="9" t="s">
        <v>78</v>
      </c>
      <c r="B58" s="10">
        <v>2.1</v>
      </c>
      <c r="C58" s="10">
        <v>1570</v>
      </c>
    </row>
    <row r="59" spans="1:3" x14ac:dyDescent="0.3">
      <c r="A59" s="9" t="s">
        <v>66</v>
      </c>
      <c r="B59" s="10">
        <v>2.1</v>
      </c>
      <c r="C59" s="10">
        <v>2115</v>
      </c>
    </row>
    <row r="60" spans="1:3" x14ac:dyDescent="0.3">
      <c r="A60" s="9" t="s">
        <v>113</v>
      </c>
      <c r="B60" s="10">
        <v>2</v>
      </c>
      <c r="C60" s="10">
        <v>450</v>
      </c>
    </row>
    <row r="61" spans="1:3" x14ac:dyDescent="0.3">
      <c r="A61" s="9" t="s">
        <v>56</v>
      </c>
      <c r="B61" s="10"/>
      <c r="C61" s="10">
        <v>1660</v>
      </c>
    </row>
    <row r="62" spans="1:3" x14ac:dyDescent="0.3">
      <c r="A62" s="9" t="s">
        <v>80</v>
      </c>
      <c r="B62" s="10"/>
      <c r="C62" s="10">
        <v>690</v>
      </c>
    </row>
    <row r="63" spans="1:3" x14ac:dyDescent="0.3">
      <c r="A63" s="9" t="s">
        <v>95</v>
      </c>
      <c r="B63" s="10"/>
      <c r="C63" s="10">
        <v>105</v>
      </c>
    </row>
    <row r="64" spans="1:3" x14ac:dyDescent="0.3">
      <c r="A64" s="9" t="s">
        <v>59</v>
      </c>
      <c r="B64" s="10"/>
      <c r="C64" s="10">
        <v>799</v>
      </c>
    </row>
    <row r="65" spans="1:3" x14ac:dyDescent="0.3">
      <c r="A65" s="9" t="s">
        <v>62</v>
      </c>
      <c r="B65" s="10"/>
      <c r="C65" s="10">
        <v>1456</v>
      </c>
    </row>
    <row r="66" spans="1:3" x14ac:dyDescent="0.3">
      <c r="A66" s="9" t="s">
        <v>52</v>
      </c>
      <c r="B66" s="10"/>
      <c r="C66" s="10">
        <v>671</v>
      </c>
    </row>
    <row r="67" spans="1:3" x14ac:dyDescent="0.3">
      <c r="A67" s="9" t="s">
        <v>99</v>
      </c>
      <c r="B67" s="10"/>
      <c r="C67" s="10">
        <v>1462</v>
      </c>
    </row>
    <row r="68" spans="1:3" x14ac:dyDescent="0.3">
      <c r="A68" s="9" t="s">
        <v>46</v>
      </c>
      <c r="B68" s="10"/>
      <c r="C68" s="10">
        <v>475</v>
      </c>
    </row>
    <row r="69" spans="1:3" x14ac:dyDescent="0.3">
      <c r="A69" s="9" t="s">
        <v>111</v>
      </c>
      <c r="B69" s="10"/>
      <c r="C69" s="10">
        <v>1768</v>
      </c>
    </row>
    <row r="70" spans="1:3" x14ac:dyDescent="0.3">
      <c r="A70" s="9" t="s">
        <v>27</v>
      </c>
      <c r="B70" s="10"/>
      <c r="C70" s="10">
        <v>1860</v>
      </c>
    </row>
    <row r="71" spans="1:3" x14ac:dyDescent="0.3">
      <c r="A71" s="9" t="s">
        <v>35</v>
      </c>
      <c r="B71" s="10"/>
      <c r="C71" s="10">
        <v>2200</v>
      </c>
    </row>
    <row r="72" spans="1:3" x14ac:dyDescent="0.3">
      <c r="A72" s="9" t="s">
        <v>89</v>
      </c>
      <c r="B72" s="10"/>
      <c r="C72" s="10">
        <v>274</v>
      </c>
    </row>
    <row r="73" spans="1:3" x14ac:dyDescent="0.3">
      <c r="A73" s="9" t="s">
        <v>90</v>
      </c>
      <c r="B73" s="10"/>
      <c r="C73" s="10">
        <v>799</v>
      </c>
    </row>
    <row r="74" spans="1:3" x14ac:dyDescent="0.3">
      <c r="A74" s="9" t="s">
        <v>106</v>
      </c>
      <c r="B74" s="10"/>
      <c r="C74" s="10">
        <v>1875</v>
      </c>
    </row>
    <row r="75" spans="1:3" x14ac:dyDescent="0.3">
      <c r="A75" s="9" t="s">
        <v>61</v>
      </c>
      <c r="B75" s="10"/>
      <c r="C75" s="10">
        <v>699</v>
      </c>
    </row>
    <row r="76" spans="1:3" x14ac:dyDescent="0.3">
      <c r="A76" s="9" t="s">
        <v>109</v>
      </c>
      <c r="B76" s="10"/>
      <c r="C76" s="10">
        <v>1190</v>
      </c>
    </row>
    <row r="77" spans="1:3" x14ac:dyDescent="0.3">
      <c r="A77" s="9" t="s">
        <v>94</v>
      </c>
      <c r="B77" s="10"/>
      <c r="C77" s="10">
        <v>1300</v>
      </c>
    </row>
    <row r="78" spans="1:3" x14ac:dyDescent="0.3">
      <c r="A78" s="9" t="s">
        <v>97</v>
      </c>
      <c r="B78" s="10"/>
      <c r="C78" s="10">
        <v>1200</v>
      </c>
    </row>
    <row r="79" spans="1:3" x14ac:dyDescent="0.3">
      <c r="A79" s="9" t="s">
        <v>110</v>
      </c>
      <c r="B79" s="10"/>
      <c r="C79" s="10">
        <v>1658</v>
      </c>
    </row>
    <row r="80" spans="1:3" x14ac:dyDescent="0.3">
      <c r="A80" s="9" t="s">
        <v>53</v>
      </c>
      <c r="B80" s="10"/>
      <c r="C80" s="10">
        <v>1200</v>
      </c>
    </row>
    <row r="81" spans="1:3" x14ac:dyDescent="0.3">
      <c r="A81" s="9" t="s">
        <v>93</v>
      </c>
      <c r="B81" s="10"/>
      <c r="C81" s="10">
        <v>850</v>
      </c>
    </row>
    <row r="82" spans="1:3" x14ac:dyDescent="0.3">
      <c r="A82" s="9" t="s">
        <v>85</v>
      </c>
      <c r="B82" s="10"/>
      <c r="C82" s="10">
        <v>1460</v>
      </c>
    </row>
    <row r="83" spans="1:3" x14ac:dyDescent="0.3">
      <c r="A83" s="9" t="s">
        <v>92</v>
      </c>
      <c r="B83" s="10"/>
      <c r="C83" s="10">
        <v>630</v>
      </c>
    </row>
    <row r="84" spans="1:3" x14ac:dyDescent="0.3">
      <c r="A84" s="9" t="s">
        <v>86</v>
      </c>
      <c r="B84" s="10"/>
      <c r="C84" s="10">
        <v>1666</v>
      </c>
    </row>
    <row r="85" spans="1:3" x14ac:dyDescent="0.3">
      <c r="A85" s="9" t="s">
        <v>58</v>
      </c>
      <c r="B85" s="10"/>
      <c r="C85" s="10">
        <v>1459</v>
      </c>
    </row>
    <row r="86" spans="1:3" x14ac:dyDescent="0.3">
      <c r="A86" s="9" t="s">
        <v>112</v>
      </c>
      <c r="B86" s="10"/>
      <c r="C86" s="10">
        <v>199</v>
      </c>
    </row>
    <row r="87" spans="1:3" x14ac:dyDescent="0.3">
      <c r="A87" s="9" t="s">
        <v>88</v>
      </c>
      <c r="B87" s="10"/>
      <c r="C87" s="10">
        <v>1466</v>
      </c>
    </row>
    <row r="88" spans="1:3" x14ac:dyDescent="0.3">
      <c r="A88" s="9" t="s">
        <v>96</v>
      </c>
      <c r="B88" s="10"/>
      <c r="C88" s="10">
        <v>899</v>
      </c>
    </row>
    <row r="89" spans="1:3" x14ac:dyDescent="0.3">
      <c r="A89" s="9" t="s">
        <v>79</v>
      </c>
      <c r="B89" s="10"/>
      <c r="C89" s="10">
        <v>790</v>
      </c>
    </row>
    <row r="90" spans="1:3" x14ac:dyDescent="0.3">
      <c r="A90" s="9" t="s">
        <v>45</v>
      </c>
      <c r="B90" s="10"/>
      <c r="C90" s="10">
        <v>2750</v>
      </c>
    </row>
    <row r="91" spans="1:3" x14ac:dyDescent="0.3">
      <c r="A91" s="9" t="s">
        <v>57</v>
      </c>
      <c r="B91" s="10"/>
      <c r="C91" s="10">
        <v>299</v>
      </c>
    </row>
    <row r="92" spans="1:3" x14ac:dyDescent="0.3">
      <c r="A92" s="9" t="s">
        <v>51</v>
      </c>
      <c r="B92" s="10"/>
      <c r="C92" s="10">
        <v>1190</v>
      </c>
    </row>
    <row r="93" spans="1:3" x14ac:dyDescent="0.3">
      <c r="A93" s="9" t="s">
        <v>102</v>
      </c>
      <c r="B93" s="10"/>
      <c r="C93" s="10">
        <v>525</v>
      </c>
    </row>
    <row r="94" spans="1:3" x14ac:dyDescent="0.3">
      <c r="A94" s="9" t="s">
        <v>82</v>
      </c>
      <c r="B94" s="10"/>
      <c r="C94" s="10">
        <v>230</v>
      </c>
    </row>
    <row r="95" spans="1:3" x14ac:dyDescent="0.3">
      <c r="A95" s="9" t="s">
        <v>48</v>
      </c>
      <c r="B95" s="10"/>
      <c r="C95" s="10">
        <v>610</v>
      </c>
    </row>
    <row r="96" spans="1:3" x14ac:dyDescent="0.3">
      <c r="A96" s="9" t="s">
        <v>108</v>
      </c>
      <c r="B96" s="10"/>
      <c r="C96" s="10">
        <v>1150</v>
      </c>
    </row>
    <row r="97" spans="1:3" x14ac:dyDescent="0.3">
      <c r="A97" s="9" t="s">
        <v>63</v>
      </c>
      <c r="B97" s="10"/>
      <c r="C97" s="10">
        <v>2799</v>
      </c>
    </row>
    <row r="98" spans="1:3" x14ac:dyDescent="0.3">
      <c r="A98" s="9" t="s">
        <v>114</v>
      </c>
      <c r="B98" s="10"/>
      <c r="C98" s="10">
        <v>169</v>
      </c>
    </row>
    <row r="99" spans="1:3" x14ac:dyDescent="0.3">
      <c r="A99" s="9" t="s">
        <v>49</v>
      </c>
      <c r="B99" s="10"/>
      <c r="C99" s="10">
        <v>2132</v>
      </c>
    </row>
    <row r="100" spans="1:3" x14ac:dyDescent="0.3">
      <c r="A100" s="9" t="s">
        <v>103</v>
      </c>
      <c r="B100" s="10"/>
      <c r="C100" s="10">
        <v>1080</v>
      </c>
    </row>
    <row r="101" spans="1:3" x14ac:dyDescent="0.3">
      <c r="A101" s="9" t="s">
        <v>60</v>
      </c>
      <c r="B101" s="10"/>
      <c r="C101" s="10">
        <v>898</v>
      </c>
    </row>
    <row r="102" spans="1:3" x14ac:dyDescent="0.3">
      <c r="A102" s="9" t="s">
        <v>105</v>
      </c>
      <c r="B102" s="10"/>
      <c r="C102" s="10">
        <v>1420</v>
      </c>
    </row>
    <row r="103" spans="1:3" x14ac:dyDescent="0.3">
      <c r="A103" s="9" t="s">
        <v>55</v>
      </c>
      <c r="B103" s="10"/>
      <c r="C103" s="10">
        <v>299</v>
      </c>
    </row>
    <row r="104" spans="1:3" x14ac:dyDescent="0.3">
      <c r="A104" s="9" t="s">
        <v>98</v>
      </c>
      <c r="B104" s="10"/>
      <c r="C104" s="10">
        <v>1526</v>
      </c>
    </row>
    <row r="105" spans="1:3" x14ac:dyDescent="0.3">
      <c r="A105" s="9" t="s">
        <v>100</v>
      </c>
      <c r="B105" s="10"/>
      <c r="C105" s="10">
        <v>248</v>
      </c>
    </row>
    <row r="106" spans="1:3" x14ac:dyDescent="0.3">
      <c r="A106" s="9" t="s">
        <v>91</v>
      </c>
      <c r="B106" s="10"/>
      <c r="C106" s="10">
        <v>1468</v>
      </c>
    </row>
    <row r="107" spans="1:3" x14ac:dyDescent="0.3">
      <c r="A107" s="9" t="s">
        <v>101</v>
      </c>
      <c r="B107" s="10"/>
      <c r="C107" s="10">
        <v>3546</v>
      </c>
    </row>
    <row r="108" spans="1:3" x14ac:dyDescent="0.3">
      <c r="A108" s="9" t="s">
        <v>107</v>
      </c>
      <c r="B108" s="10"/>
      <c r="C108" s="10">
        <v>198</v>
      </c>
    </row>
    <row r="109" spans="1:3" x14ac:dyDescent="0.3">
      <c r="A109" s="9" t="s">
        <v>47</v>
      </c>
      <c r="B109" s="10"/>
      <c r="C109" s="10">
        <v>238</v>
      </c>
    </row>
    <row r="110" spans="1:3" x14ac:dyDescent="0.3">
      <c r="A110" s="9" t="s">
        <v>50</v>
      </c>
      <c r="B110" s="10"/>
      <c r="C110" s="10">
        <v>999</v>
      </c>
    </row>
    <row r="111" spans="1:3" x14ac:dyDescent="0.3">
      <c r="A111" s="9" t="s">
        <v>54</v>
      </c>
      <c r="B111" s="10"/>
      <c r="C111" s="10">
        <v>375</v>
      </c>
    </row>
    <row r="112" spans="1:3" x14ac:dyDescent="0.3">
      <c r="A112" s="9" t="s">
        <v>81</v>
      </c>
      <c r="B112" s="10"/>
      <c r="C112" s="10">
        <v>1732</v>
      </c>
    </row>
    <row r="113" spans="1:3" x14ac:dyDescent="0.3">
      <c r="A113" s="9" t="s">
        <v>129</v>
      </c>
      <c r="B113" s="10">
        <v>221.70000000000002</v>
      </c>
      <c r="C113" s="10">
        <v>131312</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4C979-8915-43C7-989C-C03D8C576AEE}">
  <dimension ref="A24"/>
  <sheetViews>
    <sheetView tabSelected="1" workbookViewId="0">
      <selection activeCell="D52" sqref="D52"/>
    </sheetView>
  </sheetViews>
  <sheetFormatPr defaultRowHeight="14.4" x14ac:dyDescent="0.3"/>
  <cols>
    <col min="1" max="1" width="3.88671875" customWidth="1"/>
    <col min="2" max="2" width="24.6640625" customWidth="1"/>
    <col min="3" max="3" width="3.6640625" customWidth="1"/>
  </cols>
  <sheetData>
    <row r="2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Descriptive Statistics</vt:lpstr>
      <vt:lpstr>Descriptive Statistics 1.2</vt:lpstr>
      <vt:lpstr>Trend Analysis 1</vt:lpstr>
      <vt:lpstr>Trend Analysis 2</vt:lpstr>
      <vt:lpstr>Trend Analysis 1.3</vt:lpstr>
      <vt:lpstr>Product Performance 1.1</vt:lpstr>
      <vt:lpstr>Product Performance 1.2</vt:lpstr>
      <vt:lpstr>Questions &amp; KPIs</vt:lpstr>
      <vt:lpstr>Data</vt:lpstr>
      <vt:lpstr>Pivot Table</vt:lpstr>
      <vt:lpstr>Pivot Table 1.2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2026-06-09T02:38:53Z</dcterms:created>
  <dcterms:modified xsi:type="dcterms:W3CDTF">2026-06-12T11:11:59Z</dcterms:modified>
</cp:coreProperties>
</file>